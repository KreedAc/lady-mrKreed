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Piano Settimanale" sheetId="1" state="visible" r:id="rId2"/>
    <sheet name="Giovanni - Ricette" sheetId="2" state="visible" r:id="rId3"/>
    <sheet name="Rosalia - Piano 21gg" sheetId="3" state="visible" r:id="rId4"/>
    <sheet name="Rosalia - Ricette" sheetId="4" state="visible" r:id="rId5"/>
    <sheet name="Ricette da provare" sheetId="5" state="visible" r:id="rId6"/>
    <sheet name="Lista della Spesa"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<sst xmlns="http://schemas.openxmlformats.org/spreadsheetml/2006/main" count="1083" uniqueCount="457">
  <si>
    <t xml:space="preserve">PIANO ALIMENTARE SETTIMANALE — GIOVANNI · ~1700 kcal/giorno · 4 pasti</t>
  </si>
  <si>
    <t xml:space="preserve">Pasta e riso solo a cena · colazioni veloci da portare al lavoro · niente pesce e molluschi · verdure: valeriana, cetrioli, pomodori · carne a crudo</t>
  </si>
  <si>
    <t xml:space="preserve">LUNEDÌ</t>
  </si>
  <si>
    <t xml:space="preserve">Pasto</t>
  </si>
  <si>
    <t xml:space="preserve">Alimento</t>
  </si>
  <si>
    <t xml:space="preserve">Quantità (g)</t>
  </si>
  <si>
    <t xml:space="preserve">Kcal/100g</t>
  </si>
  <si>
    <t xml:space="preserve">Kcal</t>
  </si>
  <si>
    <t xml:space="preserve">Colazione</t>
  </si>
  <si>
    <t xml:space="preserve">Pane integrale</t>
  </si>
  <si>
    <t xml:space="preserve">Bresaola</t>
  </si>
  <si>
    <t xml:space="preserve">Grana a scaglie</t>
  </si>
  <si>
    <t xml:space="preserve">Pesca</t>
  </si>
  <si>
    <t xml:space="preserve">Pranzo</t>
  </si>
  <si>
    <t xml:space="preserve">▸ Straccetti di pollo al curry</t>
  </si>
  <si>
    <t xml:space="preserve">Petto di pollo (crudo)</t>
  </si>
  <si>
    <t xml:space="preserve">Latte di cocco light</t>
  </si>
  <si>
    <t xml:space="preserve">Cipolla</t>
  </si>
  <si>
    <t xml:space="preserve">Olio extravergine d'oliva</t>
  </si>
  <si>
    <t xml:space="preserve">Cetrioli</t>
  </si>
  <si>
    <t xml:space="preserve">Merenda</t>
  </si>
  <si>
    <t xml:space="preserve">Yogurt greco 2%</t>
  </si>
  <si>
    <t xml:space="preserve">Noci sgusciate</t>
  </si>
  <si>
    <t xml:space="preserve">Cena</t>
  </si>
  <si>
    <t xml:space="preserve">▸ Pasta al pomodoro e grana</t>
  </si>
  <si>
    <t xml:space="preserve">Pasta secca</t>
  </si>
  <si>
    <t xml:space="preserve">Passata di pomodoro</t>
  </si>
  <si>
    <t xml:space="preserve">Grana grattugiato</t>
  </si>
  <si>
    <t xml:space="preserve">Valeriana (songino)</t>
  </si>
  <si>
    <t xml:space="preserve">Totale giorno</t>
  </si>
  <si>
    <t xml:space="preserve">MARTEDÌ</t>
  </si>
  <si>
    <t xml:space="preserve">Fette biscottate integrali (≈5)</t>
  </si>
  <si>
    <t xml:space="preserve">Marmellata light</t>
  </si>
  <si>
    <t xml:space="preserve">Banana</t>
  </si>
  <si>
    <t xml:space="preserve">▸ Scaloppine di pollo ai funghi</t>
  </si>
  <si>
    <t xml:space="preserve">Funghi champignon</t>
  </si>
  <si>
    <t xml:space="preserve">Farina</t>
  </si>
  <si>
    <t xml:space="preserve">Fiocchi di latte</t>
  </si>
  <si>
    <t xml:space="preserve">▸ Riso basmati con tacchino</t>
  </si>
  <si>
    <t xml:space="preserve">Riso basmati</t>
  </si>
  <si>
    <t xml:space="preserve">Petto di tacchino (crudo)</t>
  </si>
  <si>
    <t xml:space="preserve">Pomodori</t>
  </si>
  <si>
    <t xml:space="preserve">MERCOLEDÌ</t>
  </si>
  <si>
    <t xml:space="preserve">Muesli fatto in casa</t>
  </si>
  <si>
    <t xml:space="preserve">▸ Insalatona con cotoletta light</t>
  </si>
  <si>
    <t xml:space="preserve">Pangrattato</t>
  </si>
  <si>
    <t xml:space="preserve">Uovo (per impanare)</t>
  </si>
  <si>
    <t xml:space="preserve">▸ Pasta e lenticchie</t>
  </si>
  <si>
    <t xml:space="preserve">Lenticchie cotte</t>
  </si>
  <si>
    <t xml:space="preserve">GIOVEDÌ</t>
  </si>
  <si>
    <t xml:space="preserve">Prosciutto crudo magro</t>
  </si>
  <si>
    <t xml:space="preserve">Anguria</t>
  </si>
  <si>
    <t xml:space="preserve">▸ Tacos light con chili (piadina integrale)</t>
  </si>
  <si>
    <t xml:space="preserve">Piadina integrale</t>
  </si>
  <si>
    <t xml:space="preserve">Macinato di manzo magro (crudo)</t>
  </si>
  <si>
    <t xml:space="preserve">Fagioli cannellini cotti</t>
  </si>
  <si>
    <t xml:space="preserve">Mozzarella light</t>
  </si>
  <si>
    <t xml:space="preserve">▸ Riso basmati con uova e valeriana</t>
  </si>
  <si>
    <t xml:space="preserve">Uova intere (≈2)</t>
  </si>
  <si>
    <t xml:space="preserve">VENERDÌ</t>
  </si>
  <si>
    <t xml:space="preserve">▸ Frittata con grana e valeriana</t>
  </si>
  <si>
    <t xml:space="preserve">Uova intere (≈3)</t>
  </si>
  <si>
    <t xml:space="preserve">▸ Pasta al ragù</t>
  </si>
  <si>
    <t xml:space="preserve">SABATO</t>
  </si>
  <si>
    <t xml:space="preserve">▸ Straccetti di tacchino al limone</t>
  </si>
  <si>
    <t xml:space="preserve">▸ Gnocchi alla sorrentina light</t>
  </si>
  <si>
    <t xml:space="preserve">Gnocchi di patate</t>
  </si>
  <si>
    <t xml:space="preserve">DOMENICA</t>
  </si>
  <si>
    <t xml:space="preserve">▸ Hamburger di manzo con valeriana</t>
  </si>
  <si>
    <t xml:space="preserve">▸ Riso con polpette al sugo</t>
  </si>
  <si>
    <t xml:space="preserve">Uovo (per legare)</t>
  </si>
  <si>
    <t xml:space="preserve">MUESLI FATTO IN CASA — ricetta base (~430 kcal/100g)</t>
  </si>
  <si>
    <t xml:space="preserve">Per ~400 g: 200 g fiocchi d'avena · 80 g noci tritate grossolanamente · 60 g uvetta o frutta essiccata · 40 g semi misti (girasole/zucca/lino) · 20 g fiocchi di cocco non zuccherati. Mescolare e conservare in barattolo chiuso.</t>
  </si>
  <si>
    <t xml:space="preserve">COLAZIONI DA PORTARE AL LAVORO</t>
  </si>
  <si>
    <t xml:space="preserve">Le tre colazioni ruotano su schemi pronti in 2 minuti: (1) pane integrale + bresaola/prosciutto + grana a scaglie + frutta — si prepara la sera e si porta in un contenitore; (2) fette biscottate integrali + marmellata light + yogurt greco + frutta — fette e marmellata in un sacchetto, yogurt nel vasetto; (3) yogurt greco + muesli + frutta — porta il muesli a parte e uniscilo al momento per non farlo ammorbidire.</t>
  </si>
  <si>
    <t xml:space="preserve">RICETTE — GIOVANNI</t>
  </si>
  <si>
    <t xml:space="preserve">Piatto</t>
  </si>
  <si>
    <t xml:space="preserve">Quando</t>
  </si>
  <si>
    <t xml:space="preserve">Preparazione</t>
  </si>
  <si>
    <t xml:space="preserve">Straccetti di pollo al curry</t>
  </si>
  <si>
    <t xml:space="preserve">Pranzo · lun</t>
  </si>
  <si>
    <t xml:space="preserve">Taglia 180 g di petto di pollo a striscioline. Rosola 40 g di cipolla tritata in 10 g d'olio, unisci il pollo e fai colorire a fiamma vivace 3-4 min. Aggiungi 1 cucchiaino di curry, sale, pepe e 60 g di latte di cocco light. Fai restringere 5 min a fuoco medio finché la salsa vela la carne. Servi con 60 g di pane integrale e cetrioli a fette.</t>
  </si>
  <si>
    <t xml:space="preserve">Scaloppine di pollo ai funghi</t>
  </si>
  <si>
    <t xml:space="preserve">Pranzo · mar</t>
  </si>
  <si>
    <t xml:space="preserve">Taglia 170 g di pollo a fettine sottili e infarinale leggermente (10 g di farina). Scalda 10 g d'olio, rosola le fettine 2 min per lato e togli. Nella stessa padella salta 150 g di champignon affettati, sala e sfuma con un goccio d'acqua. Rimetti il pollo, copri e cuoci 5 min. Accompagna con 70 g di pane integrale.</t>
  </si>
  <si>
    <t xml:space="preserve">Insalatona con cotoletta light</t>
  </si>
  <si>
    <t xml:space="preserve">Pranzo · mer</t>
  </si>
  <si>
    <t xml:space="preserve">Batti 160 g di petto di pollo, passalo in 30 g di uovo sbattuto e poi in 25 g di pangrattato con sale e pepe. Cuoci in forno a 200 °C per 18-20 min (girala a metà) o in padella antiaderente con pochissimo olio. Servi a strisce su un letto di 60 g di valeriana, 100 g di cetrioli e 100 g di pomodori conditi con 8 g d'olio. A parte 60 g di pane integrale.</t>
  </si>
  <si>
    <t xml:space="preserve">Tacos light con chili (piadina integrale)</t>
  </si>
  <si>
    <t xml:space="preserve">Pranzo · gio</t>
  </si>
  <si>
    <t xml:space="preserve">Rosola 40 g di cipolla, unisci 150 g di macinato magro e fallo colorire. Aggiungi 80 g di passata, 100 g di fagioli cannellini, paprika, cumino, peperoncino e un goccio d'acqua: cuoci 12-15 min finché si addensa. Scalda 100 g di piadina integrale, farciscila con il chili e 30 g di mozzarella light, poi piegala a tacos.</t>
  </si>
  <si>
    <t xml:space="preserve">Frittata con grana e valeriana</t>
  </si>
  <si>
    <t xml:space="preserve">Pranzo · ven</t>
  </si>
  <si>
    <t xml:space="preserve">Sbatti 3 uova con 20 g di grana, sale e pepe. Versa in padella con 8 g d'olio e cuoci a fuoco basso 4-5 min per lato. Servi con 60 g di valeriana e cetrioli in insalata e 70 g di pane integrale.</t>
  </si>
  <si>
    <t xml:space="preserve">Straccetti di tacchino al limone</t>
  </si>
  <si>
    <t xml:space="preserve">Pranzo · sab</t>
  </si>
  <si>
    <t xml:space="preserve">Taglia 180 g di tacchino a striscioline e infarinale (10 g). Rosola in 10 g d'olio 3 min, sfuma con il succo di mezzo limone e 2 cucchiai d'acqua, sala e lascia addensare 2 min. Servi con valeriana, pomodori e 70 g di pane integrale.</t>
  </si>
  <si>
    <t xml:space="preserve">Hamburger di manzo con valeriana</t>
  </si>
  <si>
    <t xml:space="preserve">Pranzo · dom</t>
  </si>
  <si>
    <t xml:space="preserve">Forma un hamburger con 170 g di macinato magro, sale e pepe. Cuoci in padella rovente 3-4 min per lato senza schiacciarlo. Servi dentro 70 g di pane integrale con valeriana e pomodori a fette, un filo d'olio a crudo.</t>
  </si>
  <si>
    <t xml:space="preserve">Pasta al pomodoro e grana</t>
  </si>
  <si>
    <t xml:space="preserve">Cena · lun</t>
  </si>
  <si>
    <t xml:space="preserve">Cuoci 90 g di pasta. A parte scalda 200 g di passata con 10 g d'olio, sale e basilico per 10 min. Manteca la pasta nel sugo e completa con 20 g di grana. Contorno di valeriana.</t>
  </si>
  <si>
    <t xml:space="preserve">Riso basmati con tacchino</t>
  </si>
  <si>
    <t xml:space="preserve">Cena · mar</t>
  </si>
  <si>
    <t xml:space="preserve">Lessa 85 g di riso basmati. Salta 150 g di tacchino a straccetti in 10 g d'olio con sale e spezie, aggiungi 100 g di pomodori a cubetti e cuoci 5 min. Unisci il riso e salta 1 minuto insieme.</t>
  </si>
  <si>
    <t xml:space="preserve">Pasta e lenticchie</t>
  </si>
  <si>
    <t xml:space="preserve">Cena · mer</t>
  </si>
  <si>
    <t xml:space="preserve">Scalda 150 g di lenticchie già cotte con 80 g di passata, 10 g d'olio, aglio e rosmarino. Allunga con acqua di cottura e unisci 80 g di pasta cotta al dente, mantecando 1-2 min.</t>
  </si>
  <si>
    <t xml:space="preserve">Riso basmati con uova e valeriana</t>
  </si>
  <si>
    <t xml:space="preserve">Cena · gio</t>
  </si>
  <si>
    <t xml:space="preserve">Lessa 85 g di riso. Strapazza 2 uova in padella con 10 g d'olio, unisci il riso e 100 g di pomodori a cubetti, salta 2 min. Fuori dal fuoco aggiungi 60 g di valeriana perché appassisca appena.</t>
  </si>
  <si>
    <t xml:space="preserve">Pasta al ragù</t>
  </si>
  <si>
    <t xml:space="preserve">Cena · ven</t>
  </si>
  <si>
    <t xml:space="preserve">Rosola 120 g di macinato magro in 8 g d'olio, sfuma e unisci 150 g di passata. Cuoci 20 min a fuoco dolce. Condisci 85 g di pasta e spolvera con 10 g di grana.</t>
  </si>
  <si>
    <t xml:space="preserve">Gnocchi alla sorrentina light</t>
  </si>
  <si>
    <t xml:space="preserve">Cena · sab</t>
  </si>
  <si>
    <t xml:space="preserve">Lessa 200 g di gnocchi. Condiscili con 120 g di passata, trasferisci in pirofila con 60 g di mozzarella light a cubetti e 10 g di grana. Gratina in forno 10 min a 200 °C.</t>
  </si>
  <si>
    <t xml:space="preserve">Riso con polpette al sugo</t>
  </si>
  <si>
    <t xml:space="preserve">Cena · dom</t>
  </si>
  <si>
    <t xml:space="preserve">Impasta 130 g di macinato con 25 g di uovo, sale e pepe; forma le polpette. Rosolale in 8 g d'olio, unisci 150 g di passata e cuoci 15 min. Servi con 80 g di riso basmati lessato e 10 g di grana.</t>
  </si>
  <si>
    <t xml:space="preserve">ALTRE PROPOSTE (da alternare)</t>
  </si>
  <si>
    <t xml:space="preserve">· Spiedini di pollo alla paprika: 180 g di pollo a cubetti marinati in olio, paprika e limone, cotti in padella o forno, con valeriana e pane integrale. · Polpettone di tacchino: 180 g di macinato di tacchino con uovo, grana e pangrattato, cotto in forno 35 min, servito a fette con pomodori. · Piadina integrale con bresaola e grana: 100 g di piadina, 50 g di bresaola, 20 g di grana a scaglie, valeriana e un filo d'olio. · Chili di manzo in ciotola (senza piadina): stesso chili dei tacos servito con 60 g di pane integrale, per una versione più leggera. · Uova al pomodoro (shakshuka semplificata): 2-3 uova cotte dentro 200 g di passata con cipolla e paprika, con pane integrale per la scarpetta. · Riso freddo estivo: riso basmati lessato e raffreddato con pomodori, cetrioli, uova sode e grana a cubetti — comodo da portare al lavoro.</t>
  </si>
  <si>
    <t xml:space="preserve">PIANO ALIMENTARE — ROSALIA · ~1550 kcal/giorno · 5 pasti · 3 settimane</t>
  </si>
  <si>
    <t xml:space="preserve">Colazione · Pranzo · Merenda · Cena · Dopo cena — carboidrati contenuti · yogurt greco solo nelle salse</t>
  </si>
  <si>
    <t xml:space="preserve">SETTIMANA 1</t>
  </si>
  <si>
    <t xml:space="preserve">Lunedì</t>
  </si>
  <si>
    <t xml:space="preserve">Uova sode, avocado e pane integrale</t>
  </si>
  <si>
    <t xml:space="preserve">Tzatziki chicken salad</t>
  </si>
  <si>
    <t xml:space="preserve">Fiocchi di latte, senape e carote</t>
  </si>
  <si>
    <t xml:space="preserve">Lasagna fit di zucchine</t>
  </si>
  <si>
    <t xml:space="preserve">Dopo cena</t>
  </si>
  <si>
    <t xml:space="preserve">Tacchino con fiocchi di latte e pomodorini</t>
  </si>
  <si>
    <t xml:space="preserve">Martedì</t>
  </si>
  <si>
    <t xml:space="preserve">Pancake proteici e frutti di bosco</t>
  </si>
  <si>
    <t xml:space="preserve">Insalatona con legumi e tonno</t>
  </si>
  <si>
    <t xml:space="preserve">Frutta estiva (melone, pesche o uva)</t>
  </si>
  <si>
    <t xml:space="preserve">Scaloppine light ai funghi</t>
  </si>
  <si>
    <t xml:space="preserve">Caprese light</t>
  </si>
  <si>
    <t xml:space="preserve">Mercoledì</t>
  </si>
  <si>
    <t xml:space="preserve">Pancake all'avena e frutti di bosco</t>
  </si>
  <si>
    <t xml:space="preserve">No carbs burger</t>
  </si>
  <si>
    <t xml:space="preserve">Spaghetti di zucchine al ragù</t>
  </si>
  <si>
    <t xml:space="preserve">Giovedì</t>
  </si>
  <si>
    <t xml:space="preserve">Tortino di ricotta e cioccolato</t>
  </si>
  <si>
    <t xml:space="preserve">No-fold gyoza di pollo</t>
  </si>
  <si>
    <t xml:space="preserve">Nuggets di zucchine</t>
  </si>
  <si>
    <t xml:space="preserve">Venerdì</t>
  </si>
  <si>
    <t xml:space="preserve">Muffin di uova e verdure (2 pz)</t>
  </si>
  <si>
    <t xml:space="preserve">Tacos ai gamberi</t>
  </si>
  <si>
    <t xml:space="preserve">Triangoli orientali</t>
  </si>
  <si>
    <t xml:space="preserve">Sabato</t>
  </si>
  <si>
    <t xml:space="preserve">Toast con avocado e uovo in camicia</t>
  </si>
  <si>
    <t xml:space="preserve">Caesar light con pollo</t>
  </si>
  <si>
    <t xml:space="preserve">Domenica</t>
  </si>
  <si>
    <t xml:space="preserve">French toast proteico alla cannella</t>
  </si>
  <si>
    <t xml:space="preserve">Wrap di lattuga con tacchino</t>
  </si>
  <si>
    <t xml:space="preserve">Hamburger con contorno</t>
  </si>
  <si>
    <t xml:space="preserve">SETTIMANA 2</t>
  </si>
  <si>
    <t xml:space="preserve">Piadina con sottiletta light e tacchino</t>
  </si>
  <si>
    <t xml:space="preserve">Insalata tonno, cetrioli e mais</t>
  </si>
  <si>
    <t xml:space="preserve">Pollo cremoso al limone</t>
  </si>
  <si>
    <t xml:space="preserve">Insalatona di uova, tonno e fagioli</t>
  </si>
  <si>
    <t xml:space="preserve">Polpette di merluzzo</t>
  </si>
  <si>
    <t xml:space="preserve">Spaghetti di zucchine e gamberi</t>
  </si>
  <si>
    <t xml:space="preserve">Straccetti di manzo con rucola e grana</t>
  </si>
  <si>
    <t xml:space="preserve">Rollos vietnamita ai gamberi</t>
  </si>
  <si>
    <t xml:space="preserve">Pollo allo zafferano</t>
  </si>
  <si>
    <t xml:space="preserve">Tagliatelle di zucchine con pollo</t>
  </si>
  <si>
    <t xml:space="preserve">Girelle di pasta fillo</t>
  </si>
  <si>
    <t xml:space="preserve">Tacos al pollo (tex-mex)</t>
  </si>
  <si>
    <t xml:space="preserve">Pollo proteico orientale</t>
  </si>
  <si>
    <t xml:space="preserve">Dumpling ai gamberi</t>
  </si>
  <si>
    <t xml:space="preserve">Insalatona di pollo, avocado e mais</t>
  </si>
  <si>
    <t xml:space="preserve">SETTIMANA 3</t>
  </si>
  <si>
    <t xml:space="preserve">Lattuce rolls di pollo</t>
  </si>
  <si>
    <t xml:space="preserve">Polpette al tonno</t>
  </si>
  <si>
    <t xml:space="preserve">Involtini vietnamiti</t>
  </si>
  <si>
    <t xml:space="preserve">Spiedini di involtini di zucchine</t>
  </si>
  <si>
    <t xml:space="preserve">Noodles di konjac e pollo</t>
  </si>
  <si>
    <t xml:space="preserve">Wrap agli spinaci e salmone</t>
  </si>
  <si>
    <t xml:space="preserve">Tacos al manzo (chili leggero)</t>
  </si>
  <si>
    <t xml:space="preserve">Merluzzo in umido con pomodorini</t>
  </si>
  <si>
    <t xml:space="preserve">Sformato di pasta fillo</t>
  </si>
  <si>
    <t xml:space="preserve">Filetto di salmone in padella al limone</t>
  </si>
  <si>
    <t xml:space="preserve">Gamberi all'aglio e prezzemolo</t>
  </si>
  <si>
    <t xml:space="preserve">Parmigiana light di zucchine</t>
  </si>
  <si>
    <t xml:space="preserve">MEDIA GIORNALIERA (21 giorni)</t>
  </si>
  <si>
    <t xml:space="preserve">RICETTE — ROSALIA · porzioni per ~1550 kcal/giorno (1 porzione)</t>
  </si>
  <si>
    <t xml:space="preserve">PRANZI E CENE</t>
  </si>
  <si>
    <t xml:space="preserve">Ingredienti (1 porzione)</t>
  </si>
  <si>
    <t xml:space="preserve">155 g macinato magro di manzo · 1 zucchina · 50 g cipolla · 110 g passata di pomodoro · 50 g mozzarella light · 13 g grana</t>
  </si>
  <si>
    <t xml:space="preserve">175 g macinato magro di manzo · 2 zucchine · 130 g passata di pomodoro · 11 g olio evo</t>
  </si>
  <si>
    <t xml:space="preserve">2 zucchine · 90 g pomodorini · 50 g philadelphia light · 170 g petto di pollo · 9 g olio evo</t>
  </si>
  <si>
    <t xml:space="preserve">2 zucchine · 90 g pomodorini · 205 g gamberi · 55 g philadelphia light · 10 g olio evo</t>
  </si>
  <si>
    <t xml:space="preserve">2 zucchine · 120 g fesa di tacchino · 75 g mozzarella light · 25 g parmigiano</t>
  </si>
  <si>
    <t xml:space="preserve">200 g petto di pollo · 1 zucchina · 25 g parmigiano · 1 uovo</t>
  </si>
  <si>
    <t xml:space="preserve">2 zucchine · 90 g salmone affumicato · 30 g philadelphia light · 13 g pangrattato · 1 uovo · 9 g farina</t>
  </si>
  <si>
    <t xml:space="preserve">1 porzione di lattuga · 145 g fesa di tacchino · 60 g philadelphia light · 2 uova</t>
  </si>
  <si>
    <t xml:space="preserve">100 g spinaci · 2 uova · 12 g parmigiano · 55 g salmone affumicato · 20 g philadelphia light · 30 g avocado · 20 g yogurt greco</t>
  </si>
  <si>
    <t xml:space="preserve">1 porzione di lattuga · 100 g cetrioli · 60 g carote · 60 g cavolo viola · 150 g petto di pollo · 1 foglio di carta di riso · 7 g olio evo · 60 g hummus di ceci</t>
  </si>
  <si>
    <t xml:space="preserve">250 g gamberi · 3 fogli di carta di riso · 1 uovo · 20 g salsa teriyaki · 1 limone</t>
  </si>
  <si>
    <t xml:space="preserve">190 g macinato di pollo · 25 g carote · 35 g cipolla · 3 fogli di carta di riso · 7 g olio evo</t>
  </si>
  <si>
    <t xml:space="preserve">165 g gamberi · 3 fogli di carta di riso · 100 g cetrioli · 60 g carote · 1 porzione d'insalata · 16 g burro di arachidi · 9 g miele</t>
  </si>
  <si>
    <t xml:space="preserve">2 uova · 3 fogli di carta di riso · 100 g cetrioli · 60 g carote · 1 porzione d'insalata · 50 g yogurt bianco · 10 g concentrato di pomodoro · 16 g grana</t>
  </si>
  <si>
    <t xml:space="preserve">3 fogli di carta di riso · 50 g cipolla · 80 g carote · 1 zucchina · 3 uova</t>
  </si>
  <si>
    <t xml:space="preserve">185 g petto di pollo · 1 zucchina · 80 g carote · 100 g noodles di konjac · 25 g burro di arachidi · 18 ml salsa di soia · 1 limone</t>
  </si>
  <si>
    <t xml:space="preserve">200 g petto di pollo · 40 g cipolla · 1 zucchina · 80 g carote · 10 g farina · 17 ml salsa di soia · 10 g olio evo</t>
  </si>
  <si>
    <t xml:space="preserve">160 g petto di pollo · 9 g farina · 1 limone · 1 porzione d'insalata · 9 g olio evo · 55 g pane integrale</t>
  </si>
  <si>
    <t xml:space="preserve">160 g petto di pollo · 9 g farina · 1 bustina di zafferano · 1 porzione d'insalata · 9 g olio evo · 55 g pane integrale</t>
  </si>
  <si>
    <t xml:space="preserve">160 g petto di pollo · 9 g farina · 100 g funghi champignon · 9 g olio evo · 50 g pane integrale</t>
  </si>
  <si>
    <t xml:space="preserve">150 g petto di pollo · 100 g yogurt greco · 200 g cetrioli · 40 g cipolla · 1 limone · 7 g olio evo · 75 g ceci</t>
  </si>
  <si>
    <t xml:space="preserve">150 g macinato magro di manzo · 1 porzione d'insalata · 1 sottiletta light · 2 uova</t>
  </si>
  <si>
    <t xml:space="preserve">165 g macinato magro di manzo · 150 g verdura di contorno · 8 g olio evo · 80 g fagioli cannellini</t>
  </si>
  <si>
    <t xml:space="preserve">115 g tonno al naturale · 85 g philadelphia light · 25 g parmigiano · 1 uovo</t>
  </si>
  <si>
    <t xml:space="preserve">180 g merluzzo · 1 uovo · 20 g pangrattato · 10 g farina · 100 g passata di pomodoro · 9 g olio evo</t>
  </si>
  <si>
    <t xml:space="preserve">200 g cetrioli · 115 g tonno al naturale · 2 uova · 40 g cipolla · 15 g mais in scatola · 10 g philadelphia light · 18 g yogurt greco · 5 g senape · 50 g fagioli cannellini</t>
  </si>
  <si>
    <t xml:space="preserve">45 g pasta fillo · 1 zucchina · 90 g fesa di tacchino · 25 g grana · 8 g olio evo</t>
  </si>
  <si>
    <t xml:space="preserve">40 g pasta fillo · 1 zucchina · 80 g funghi champignon · 135 g macinato magro di manzo · 18 g parmigiano</t>
  </si>
  <si>
    <t xml:space="preserve">150 g gnocchi di patate · 100 g passata di pomodoro · 60 g mozzarella light · 18 g parmigiano</t>
  </si>
  <si>
    <t xml:space="preserve">1 porzione d'insalata · 150 g legumi in scatola · 80 g mais in scatola · 60 g tonno al naturale · 10 g olio evo · 1 limone</t>
  </si>
  <si>
    <t xml:space="preserve">50 g tacos di mais · 90 g gamberi · 45 g avocado · 1 porzione d'insalata · 60 g pomodorini · 5 g olio evo · 1 lime · 50 g fagioli neri</t>
  </si>
  <si>
    <t xml:space="preserve">50 g tacos di mais · 90 g petto di pollo · 50 g fagioli neri · 40 g mais in scatola · 1 porzione d'insalata · 30 g salsa di pomodoro piccante · 5 g olio evo · 1 lime</t>
  </si>
  <si>
    <t xml:space="preserve">50 g tacos di mais · 80 g macinato magro di manzo · 50 g fagioli rossi · 40 g pomodori · 30 g cipolla · 1 porzione d'insalata · 5 g olio evo · 1 lime</t>
  </si>
  <si>
    <t xml:space="preserve">1 porzione di lattuga · 170 g petto di pollo · 25 g grana · 60 g yogurt greco · 9 g senape · 1 limone · 70 g ceci</t>
  </si>
  <si>
    <t xml:space="preserve">1 porzione d'insalata · 2 uova · 60 g tonno al naturale · 90 g fagioli cannellini · 60 g pomodorini · 8 g olio evo · 1 limone</t>
  </si>
  <si>
    <t xml:space="preserve">1 porzione d'insalata · 160 g petto di pollo · 40 g avocado · 20 g mais in scatola · 60 g pomodorini · 7 g olio evo · 1 lime · 75 g ceci</t>
  </si>
  <si>
    <t xml:space="preserve">130 g fettine di manzo magro · 60 g rucola · 25 g grana · 8 g olio evo · 1 limone · 30 g pane integrale</t>
  </si>
  <si>
    <t xml:space="preserve">165 g salmone fresco · 10 g olio evo · 1 limone · 1 zucchina · 1 porzione d'insalata</t>
  </si>
  <si>
    <t xml:space="preserve">220 g merluzzo · 150 g pomodorini · 40 g cipolla · 12 g olio evo · 40 g pane integrale · 1 ciuffo di prezzemolo</t>
  </si>
  <si>
    <t xml:space="preserve">220 g gamberi · 12 g olio evo · 1 spicchio d'aglio · 1 ciuffo di prezzemolo · 45 g pane integrale · 1 porzione d'insalata · 60 g pomodorini</t>
  </si>
  <si>
    <t xml:space="preserve">COLAZIONI</t>
  </si>
  <si>
    <t xml:space="preserve">2 uova · 40 g avocado · 80 g pomodori · 35 g pane integrale</t>
  </si>
  <si>
    <t xml:space="preserve">2 uova · 150 g fiocchi di latte · 70 g frutti di bosco</t>
  </si>
  <si>
    <t xml:space="preserve">30 g farina d'avena · 1 uovo · 100 g albume · 60 g fiocchi di latte · 70 g frutti di bosco</t>
  </si>
  <si>
    <t xml:space="preserve">90 g ricotta light · 8 g miele · 7 g amido di mais · 5 g gocce di cioccolato · 20 g uovo sbattuto · 1 limone · 150 g frutta fresca · 40 g fiocchi di latte</t>
  </si>
  <si>
    <t xml:space="preserve">2 uova · 60 g spinaci · 40 g pomodorini · 18 g grana · 30 g pane integrale</t>
  </si>
  <si>
    <t xml:space="preserve">55 g pane integrale · 65 g avocado · 1 uovo · 60 g pomodorini</t>
  </si>
  <si>
    <t xml:space="preserve">50 g pane integrale · 1 uovo · 80 ml latte · 100 g frutti di bosco · 50 g fiocchi di latte</t>
  </si>
  <si>
    <t xml:space="preserve">70 g piadina integrale · 1 sottiletta light · 60 g fesa di tacchino · 1 porzione d'insalata · 60 g pomodori</t>
  </si>
  <si>
    <t xml:space="preserve">MERENDE E SPUNTINI DOPO CENA</t>
  </si>
  <si>
    <t xml:space="preserve">65 g mozzarella light · 100 g pomodori · 5 g basilico · 5 g olio evo</t>
  </si>
  <si>
    <t xml:space="preserve">150 g fiocchi di latte · 10 g senape · 70 g carote</t>
  </si>
  <si>
    <t xml:space="preserve">300 g frutta estiva (melone/pesche/uva)</t>
  </si>
  <si>
    <t xml:space="preserve">55 g fesa di tacchino · 115 g fiocchi di latte · 80 g pomodorini</t>
  </si>
  <si>
    <t xml:space="preserve">Note: kcal stimate su porzione singola. Yogurt greco solo come ingrediente di salse, mai al naturale a colazione o merenda. Merenda e dopo cena usano le stesse 4 ricette, sfasate così nella stessa giornata sono diverse.</t>
  </si>
  <si>
    <t xml:space="preserve">RICETTE DA PROVARE</t>
  </si>
  <si>
    <t xml:space="preserve">Non ancora inserite nel piano — da testare e, se piacciono, spostare nel ricettario</t>
  </si>
  <si>
    <t xml:space="preserve">Kcal stimate</t>
  </si>
  <si>
    <t xml:space="preserve">Spiedini di pollo marinati allo yogurt</t>
  </si>
  <si>
    <t xml:space="preserve">≈430 kcal</t>
  </si>
  <si>
    <t xml:space="preserve">180 g di petto di pollo a cubetti marinati almeno 30 min in 80 g di yogurt greco, succo di limone, paprika, aglio in polvere, sale e pepe. Infilza sugli spiedini e cuoci in padella grill o antiaderente 10-12 min girando spesso. Servi con insalata mista condita con 8 g d'olio e 40 g di pane integrale.</t>
  </si>
  <si>
    <t xml:space="preserve">Tortino agli spinaci</t>
  </si>
  <si>
    <t xml:space="preserve">≈435 kcal</t>
  </si>
  <si>
    <t xml:space="preserve">200 g fiocchi di latte · 2 uova medie · 150 g spinaci freschi · 5 g olio EVO · 5 g parmigiano · sale, pepe, noce moscata. Fai appassire gli spinaci in padella con l'olio, strizzali bene e tritali. Mescolali con i fiocchi di latte, le uova sbattute, il parmigiano e le spezie. Versa in pirofila e cuoci in forno a 180 °C per 25-30 min finché è rappreso e dorato in superficie. Dosi già in linea con il pasto: nessun adattamento necessario.</t>
  </si>
  <si>
    <t xml:space="preserve">Giant veggie roll</t>
  </si>
  <si>
    <t xml:space="preserve">≈440 kcal</t>
  </si>
  <si>
    <t xml:space="preserve">3 fogli di carta di riso · foglie d'insalata · 60 g carote a julienne · 60 g cetrioli a bastoncini · 45 g avocado · 130 g petto di pollo cotto e sfilacciato. Per la salsa: 10 g burro di arachidi · 10 ml salsa di soia · 8 g miele · succo di limone. Ammorbidisci un foglio di riso alla volta in acqua tiepida, sovrapponi i tre leggermente sfalsati per ottenere una superficie unica, disponi al centro l'insalata e poi gli altri ingredienti a strisce parallele. Arrotolа stretto ripiegando prima i lati, poi taglia a metà in diagonale. Frulla o mescola gli ingredienti della salsa fino a ottenere una crema fluida, allungando con un cucchiaio d'acqua se serve. Porzioni adattate al pasto: pollo 130 g e avocado 45 g per restare in linea con le kcal.</t>
  </si>
  <si>
    <t xml:space="preserve">Chia pudding ai frutti rossi</t>
  </si>
  <si>
    <t xml:space="preserve">≈330 kcal</t>
  </si>
  <si>
    <t xml:space="preserve">25 g semi di chia · 180 ml latte parz. scremato · 100 g frutti rossi frullati · 10 g miele · 10 g mandorle a lamelle. Mescola chia e latte, lascia in frigo almeno 4 ore (meglio tutta la notte). Al mattino unisci la frutta frullata, il miele e completa con le mandorle. Dosi già in linea: nessun adattamento.</t>
  </si>
  <si>
    <t xml:space="preserve">Chia pudding al cocco</t>
  </si>
  <si>
    <t xml:space="preserve">25 g semi di chia · 150 ml latte di cocco da bere · 8 g scaglie di cocco · 10 g sciroppo di agave · 80 g frutta fresca · 8 g anacardi. Stessa preparazione: chia nel latte di cocco per una notte, poi guarnisci con frutta, scaglie e anacardi. Dosi già in linea: nessun adattamento.</t>
  </si>
  <si>
    <t xml:space="preserve">Chia pudding al cioccolato</t>
  </si>
  <si>
    <t xml:space="preserve">≈335 kcal</t>
  </si>
  <si>
    <t xml:space="preserve">25 g semi di chia · 180 ml latte parz. scremato · 8 g cacao amaro · 12 g miele · 12 g nocciole tritate · pizzico di sale. Sciogli bene il cacao nel latte prima di unire la chia, così non fa grumi. Riposo in frigo una notte, poi completa con le nocciole. Dosi già in linea: nessun adattamento.</t>
  </si>
  <si>
    <t xml:space="preserve">Chia pudding tiramisù</t>
  </si>
  <si>
    <t xml:space="preserve">25 g semi di chia · 130 ml latte parz. scremato · 1 tazzina di caffè · 50 g yogurt greco 0% · 10 g miele · 4 g cacao amaro a spolvero · 13 g mandorle. Unisci caffè freddo e latte, aggiungi la chia e lascia riposare una notte; al mattino stratifica con lo yogurt, spolvera di cacao e completa con le mandorle. Mandorle portate da 10 a 13 g per centrare le kcal della colazione.</t>
  </si>
  <si>
    <t xml:space="preserve">LISTA DELLA SPESA</t>
  </si>
  <si>
    <t xml:space="preserve">Quantità totali per periodo · carne e pesce a crudo · insalate contate a porzioni</t>
  </si>
  <si>
    <t xml:space="preserve">GIOVANNI — 1 settimana (7 giorni)</t>
  </si>
  <si>
    <t xml:space="preserve">Frutta e verdura</t>
  </si>
  <si>
    <t xml:space="preserve">450 g</t>
  </si>
  <si>
    <t xml:space="preserve">420 g</t>
  </si>
  <si>
    <t xml:space="preserve">2 pz (≈400 g)</t>
  </si>
  <si>
    <t xml:space="preserve">80 g</t>
  </si>
  <si>
    <t xml:space="preserve">150 g</t>
  </si>
  <si>
    <t xml:space="preserve">520 g</t>
  </si>
  <si>
    <t xml:space="preserve">500 g</t>
  </si>
  <si>
    <t xml:space="preserve">8 porzioni</t>
  </si>
  <si>
    <t xml:space="preserve">Carne e salumi</t>
  </si>
  <si>
    <t xml:space="preserve">140 g</t>
  </si>
  <si>
    <t xml:space="preserve">515 g</t>
  </si>
  <si>
    <t xml:space="preserve">510 g</t>
  </si>
  <si>
    <t xml:space="preserve">330 g</t>
  </si>
  <si>
    <t xml:space="preserve">45 g</t>
  </si>
  <si>
    <t xml:space="preserve">Latticini e uova</t>
  </si>
  <si>
    <t xml:space="preserve">320 g</t>
  </si>
  <si>
    <t xml:space="preserve">85 g</t>
  </si>
  <si>
    <t xml:space="preserve">70 g</t>
  </si>
  <si>
    <t xml:space="preserve">Uova</t>
  </si>
  <si>
    <t xml:space="preserve">5 pz (≈273 g)</t>
  </si>
  <si>
    <t xml:space="preserve">1.19 kg</t>
  </si>
  <si>
    <t xml:space="preserve">Pane, cereali e dispensa</t>
  </si>
  <si>
    <t xml:space="preserve">90 g</t>
  </si>
  <si>
    <t xml:space="preserve">220 g</t>
  </si>
  <si>
    <t xml:space="preserve">95 g</t>
  </si>
  <si>
    <t xml:space="preserve">625 g</t>
  </si>
  <si>
    <t xml:space="preserve">25 g</t>
  </si>
  <si>
    <t xml:space="preserve">235 g</t>
  </si>
  <si>
    <t xml:space="preserve">225 g</t>
  </si>
  <si>
    <t xml:space="preserve">Dispensa e condimenti</t>
  </si>
  <si>
    <t xml:space="preserve">20 g</t>
  </si>
  <si>
    <t xml:space="preserve">60 g</t>
  </si>
  <si>
    <t xml:space="preserve">57 g</t>
  </si>
  <si>
    <t xml:space="preserve">110 g</t>
  </si>
  <si>
    <t xml:space="preserve">780 g</t>
  </si>
  <si>
    <t xml:space="preserve">ROSALIA — Settimana 1 (7 giorni)</t>
  </si>
  <si>
    <t xml:space="preserve">Avocado</t>
  </si>
  <si>
    <t xml:space="preserve">Basilico</t>
  </si>
  <si>
    <t xml:space="preserve">15 g</t>
  </si>
  <si>
    <t xml:space="preserve">Carote</t>
  </si>
  <si>
    <t xml:space="preserve">385 g</t>
  </si>
  <si>
    <t xml:space="preserve">1 pz (≈200 g)</t>
  </si>
  <si>
    <t xml:space="preserve">175 g</t>
  </si>
  <si>
    <t xml:space="preserve">Frutta estiva (melone/pesche/uva)</t>
  </si>
  <si>
    <t xml:space="preserve">900 g</t>
  </si>
  <si>
    <t xml:space="preserve">Frutta fresca</t>
  </si>
  <si>
    <t xml:space="preserve">Frutti di bosco</t>
  </si>
  <si>
    <t xml:space="preserve">240 g</t>
  </si>
  <si>
    <t xml:space="preserve">100 g</t>
  </si>
  <si>
    <t xml:space="preserve">Insalata</t>
  </si>
  <si>
    <t xml:space="preserve">3 porzioni</t>
  </si>
  <si>
    <t xml:space="preserve">Lattuga</t>
  </si>
  <si>
    <t xml:space="preserve">2 porzioni</t>
  </si>
  <si>
    <t xml:space="preserve">Lime</t>
  </si>
  <si>
    <t xml:space="preserve">1 pz</t>
  </si>
  <si>
    <t xml:space="preserve">Limoni</t>
  </si>
  <si>
    <t xml:space="preserve">4 pz</t>
  </si>
  <si>
    <t xml:space="preserve">380 g</t>
  </si>
  <si>
    <t xml:space="preserve">Pomodorini</t>
  </si>
  <si>
    <t xml:space="preserve">480 g</t>
  </si>
  <si>
    <t xml:space="preserve">Spinaci</t>
  </si>
  <si>
    <t xml:space="preserve">Verdura di contorno</t>
  </si>
  <si>
    <t xml:space="preserve">Zucchine</t>
  </si>
  <si>
    <t xml:space="preserve">5 pz</t>
  </si>
  <si>
    <t xml:space="preserve">Fesa di tacchino</t>
  </si>
  <si>
    <t xml:space="preserve">365 g</t>
  </si>
  <si>
    <t xml:space="preserve">Macinato di pollo</t>
  </si>
  <si>
    <t xml:space="preserve">190 g</t>
  </si>
  <si>
    <t xml:space="preserve">Macinato magro di manzo</t>
  </si>
  <si>
    <t xml:space="preserve">645 g</t>
  </si>
  <si>
    <t xml:space="preserve">Petto di pollo</t>
  </si>
  <si>
    <t xml:space="preserve">680 g</t>
  </si>
  <si>
    <t xml:space="preserve">Pesce</t>
  </si>
  <si>
    <t xml:space="preserve">Gamberi</t>
  </si>
  <si>
    <t xml:space="preserve">Tonno al naturale</t>
  </si>
  <si>
    <t xml:space="preserve">Albume</t>
  </si>
  <si>
    <t xml:space="preserve">1.36 kg</t>
  </si>
  <si>
    <t xml:space="preserve">Grana</t>
  </si>
  <si>
    <t xml:space="preserve">56 g</t>
  </si>
  <si>
    <t xml:space="preserve">Latte</t>
  </si>
  <si>
    <t xml:space="preserve">80 ml</t>
  </si>
  <si>
    <t xml:space="preserve">305 g</t>
  </si>
  <si>
    <t xml:space="preserve">Parmigiano</t>
  </si>
  <si>
    <t xml:space="preserve">43 g</t>
  </si>
  <si>
    <t xml:space="preserve">Philadelphia light</t>
  </si>
  <si>
    <t xml:space="preserve">Ricotta light</t>
  </si>
  <si>
    <t xml:space="preserve">Sottilette light</t>
  </si>
  <si>
    <t xml:space="preserve">17 pz</t>
  </si>
  <si>
    <t xml:space="preserve">Yogurt greco</t>
  </si>
  <si>
    <t xml:space="preserve">160 g</t>
  </si>
  <si>
    <t xml:space="preserve">Amido di mais</t>
  </si>
  <si>
    <t xml:space="preserve">7 g</t>
  </si>
  <si>
    <t xml:space="preserve">Carta di riso</t>
  </si>
  <si>
    <t xml:space="preserve">6 fogli</t>
  </si>
  <si>
    <t xml:space="preserve">Ceci</t>
  </si>
  <si>
    <t xml:space="preserve">145 g</t>
  </si>
  <si>
    <t xml:space="preserve">Fagioli cannellini</t>
  </si>
  <si>
    <t xml:space="preserve">Fagioli neri</t>
  </si>
  <si>
    <t xml:space="preserve">50 g</t>
  </si>
  <si>
    <t xml:space="preserve">9 g</t>
  </si>
  <si>
    <t xml:space="preserve">Farina d'avena</t>
  </si>
  <si>
    <t xml:space="preserve">30 g</t>
  </si>
  <si>
    <t xml:space="preserve">Gocce di cioccolato</t>
  </si>
  <si>
    <t xml:space="preserve">5 g</t>
  </si>
  <si>
    <t xml:space="preserve">Legumi in scatola</t>
  </si>
  <si>
    <t xml:space="preserve">Mais in scatola</t>
  </si>
  <si>
    <t xml:space="preserve">Miele</t>
  </si>
  <si>
    <t xml:space="preserve">8 g</t>
  </si>
  <si>
    <t xml:space="preserve">Olio EVO</t>
  </si>
  <si>
    <t xml:space="preserve">72 g</t>
  </si>
  <si>
    <t xml:space="preserve">340 g</t>
  </si>
  <si>
    <t xml:space="preserve">Senape</t>
  </si>
  <si>
    <t xml:space="preserve">49 g</t>
  </si>
  <si>
    <t xml:space="preserve">Tacos di mais</t>
  </si>
  <si>
    <t xml:space="preserve">Uovo sbattuto</t>
  </si>
  <si>
    <t xml:space="preserve">ROSALIA — Settimana 2 (7 giorni)</t>
  </si>
  <si>
    <t xml:space="preserve">350 g</t>
  </si>
  <si>
    <t xml:space="preserve">2 pz (≈300 g)</t>
  </si>
  <si>
    <t xml:space="preserve">1.2 kg</t>
  </si>
  <si>
    <t xml:space="preserve">7 porzioni</t>
  </si>
  <si>
    <t xml:space="preserve">2 pz</t>
  </si>
  <si>
    <t xml:space="preserve">540 g</t>
  </si>
  <si>
    <t xml:space="preserve">640 g</t>
  </si>
  <si>
    <t xml:space="preserve">Rucola</t>
  </si>
  <si>
    <t xml:space="preserve">6 pz</t>
  </si>
  <si>
    <t xml:space="preserve">315 g</t>
  </si>
  <si>
    <t xml:space="preserve">Fettine di manzo magro</t>
  </si>
  <si>
    <t xml:space="preserve">130 g</t>
  </si>
  <si>
    <t xml:space="preserve">940 g</t>
  </si>
  <si>
    <t xml:space="preserve">620 g</t>
  </si>
  <si>
    <t xml:space="preserve">Merluzzo</t>
  </si>
  <si>
    <t xml:space="preserve">180 g</t>
  </si>
  <si>
    <t xml:space="preserve">1.04 kg</t>
  </si>
  <si>
    <t xml:space="preserve">68 g</t>
  </si>
  <si>
    <t xml:space="preserve">260 g</t>
  </si>
  <si>
    <t xml:space="preserve">115 g</t>
  </si>
  <si>
    <t xml:space="preserve">14 pz</t>
  </si>
  <si>
    <t xml:space="preserve">18 g</t>
  </si>
  <si>
    <t xml:space="preserve">Burro di arachidi</t>
  </si>
  <si>
    <t xml:space="preserve">16 g</t>
  </si>
  <si>
    <t xml:space="preserve">75 g</t>
  </si>
  <si>
    <t xml:space="preserve">38 g</t>
  </si>
  <si>
    <t xml:space="preserve">17 g</t>
  </si>
  <si>
    <t xml:space="preserve">112 g</t>
  </si>
  <si>
    <t xml:space="preserve">Pasta fillo</t>
  </si>
  <si>
    <t xml:space="preserve">Salsa di pomodoro piccante</t>
  </si>
  <si>
    <t xml:space="preserve">Salsa di soia</t>
  </si>
  <si>
    <t xml:space="preserve">17 ml</t>
  </si>
  <si>
    <t xml:space="preserve">Salsa teriyaki</t>
  </si>
  <si>
    <t xml:space="preserve">35 g</t>
  </si>
  <si>
    <t xml:space="preserve">Zafferano</t>
  </si>
  <si>
    <t xml:space="preserve">1 bustine</t>
  </si>
  <si>
    <t xml:space="preserve">ROSALIA — Settimana 3 (7 giorni)</t>
  </si>
  <si>
    <t xml:space="preserve">Cavolo viola</t>
  </si>
  <si>
    <t xml:space="preserve">6 porzioni</t>
  </si>
  <si>
    <t xml:space="preserve">1 porzione</t>
  </si>
  <si>
    <t xml:space="preserve">3 pz</t>
  </si>
  <si>
    <t xml:space="preserve">570 g</t>
  </si>
  <si>
    <t xml:space="preserve">7 pz</t>
  </si>
  <si>
    <t xml:space="preserve">400 g</t>
  </si>
  <si>
    <t xml:space="preserve">530 g</t>
  </si>
  <si>
    <t xml:space="preserve">335 g</t>
  </si>
  <si>
    <t xml:space="preserve">Salmone affumicato</t>
  </si>
  <si>
    <t xml:space="preserve">34 g</t>
  </si>
  <si>
    <t xml:space="preserve">270 g</t>
  </si>
  <si>
    <t xml:space="preserve">135 g</t>
  </si>
  <si>
    <t xml:space="preserve">16 pz</t>
  </si>
  <si>
    <t xml:space="preserve">Yogurt bianco</t>
  </si>
  <si>
    <t xml:space="preserve">Aglio</t>
  </si>
  <si>
    <t xml:space="preserve">1 g</t>
  </si>
  <si>
    <t xml:space="preserve">4 fogli</t>
  </si>
  <si>
    <t xml:space="preserve">Concentrato di pomodoro</t>
  </si>
  <si>
    <t xml:space="preserve">10 g</t>
  </si>
  <si>
    <t xml:space="preserve">Fagioli rossi</t>
  </si>
  <si>
    <t xml:space="preserve">Hummus di ceci</t>
  </si>
  <si>
    <t xml:space="preserve">Noodles di konjac</t>
  </si>
  <si>
    <t xml:space="preserve">69 g</t>
  </si>
  <si>
    <t xml:space="preserve">200 g</t>
  </si>
  <si>
    <t xml:space="preserve">13 g</t>
  </si>
  <si>
    <t xml:space="preserve">40 g</t>
  </si>
  <si>
    <t xml:space="preserve">Prezzemolo</t>
  </si>
  <si>
    <t xml:space="preserve">2 g</t>
  </si>
  <si>
    <t xml:space="preserve">Salmone fresco</t>
  </si>
  <si>
    <t xml:space="preserve">165 g</t>
  </si>
  <si>
    <t xml:space="preserve">18 ml</t>
  </si>
</sst>
</file>

<file path=xl/styles.xml><?xml version="1.0" encoding="utf-8"?>
<styleSheet xmlns="http://schemas.openxmlformats.org/spreadsheetml/2006/main">
  <numFmts count="3">
    <numFmt numFmtId="164" formatCode="General"/>
    <numFmt numFmtId="165" formatCode="0&quot; kcal&quot;"/>
    <numFmt numFmtId="166" formatCode="0"/>
  </numFmts>
  <fonts count="13">
    <font>
      <sz val="11"/>
      <color rgb="FF000000"/>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1"/>
      <color rgb="FF595959"/>
      <name val="Arial"/>
      <family val="0"/>
      <charset val="1"/>
    </font>
    <font>
      <b val="true"/>
      <sz val="12"/>
      <color rgb="FFFFFFFF"/>
      <name val="Arial"/>
      <family val="0"/>
      <charset val="1"/>
    </font>
    <font>
      <b val="true"/>
      <sz val="11"/>
      <color rgb="FFFFFFFF"/>
      <name val="Arial"/>
      <family val="0"/>
      <charset val="1"/>
    </font>
    <font>
      <b val="true"/>
      <sz val="11"/>
      <name val="Arial"/>
      <family val="0"/>
      <charset val="1"/>
    </font>
    <font>
      <sz val="11"/>
      <name val="Arial"/>
      <family val="0"/>
      <charset val="1"/>
    </font>
    <font>
      <b val="true"/>
      <sz val="11"/>
      <color rgb="FF1F4E79"/>
      <name val="Arial"/>
      <family val="0"/>
      <charset val="1"/>
    </font>
    <font>
      <b val="true"/>
      <sz val="13"/>
      <color rgb="FFFFFFFF"/>
      <name val="Arial"/>
      <family val="0"/>
      <charset val="1"/>
    </font>
    <font>
      <b val="true"/>
      <sz val="11"/>
      <color rgb="FF7B241C"/>
      <name val="Arial"/>
      <family val="0"/>
      <charset val="1"/>
    </font>
  </fonts>
  <fills count="19">
    <fill>
      <patternFill patternType="none"/>
    </fill>
    <fill>
      <patternFill patternType="gray125"/>
    </fill>
    <fill>
      <patternFill patternType="solid">
        <fgColor rgb="FF2E5A88"/>
        <bgColor rgb="FF1F4E79"/>
      </patternFill>
    </fill>
    <fill>
      <patternFill patternType="solid">
        <fgColor rgb="FF4472C4"/>
        <bgColor rgb="FF2E5A88"/>
      </patternFill>
    </fill>
    <fill>
      <patternFill patternType="solid">
        <fgColor rgb="FFD9D9D9"/>
        <bgColor rgb="FFEAD1DC"/>
      </patternFill>
    </fill>
    <fill>
      <patternFill patternType="solid">
        <fgColor rgb="FFFCE4D6"/>
        <bgColor rgb="FFFFF2CC"/>
      </patternFill>
    </fill>
    <fill>
      <patternFill patternType="solid">
        <fgColor rgb="FFE2EFDA"/>
        <bgColor rgb="FFDDEBF7"/>
      </patternFill>
    </fill>
    <fill>
      <patternFill patternType="solid">
        <fgColor rgb="FFEDF3FA"/>
        <bgColor rgb="FFF7F9FC"/>
      </patternFill>
    </fill>
    <fill>
      <patternFill patternType="solid">
        <fgColor rgb="FFFFF2CC"/>
        <bgColor rgb="FFFCE4D6"/>
      </patternFill>
    </fill>
    <fill>
      <patternFill patternType="solid">
        <fgColor rgb="FFDDEBF7"/>
        <bgColor rgb="FFE2EFDA"/>
      </patternFill>
    </fill>
    <fill>
      <patternFill patternType="solid">
        <fgColor rgb="FFBDD7EE"/>
        <bgColor rgb="FFD9D9D9"/>
      </patternFill>
    </fill>
    <fill>
      <patternFill patternType="solid">
        <fgColor rgb="FFC0392B"/>
        <bgColor rgb="FF922B21"/>
      </patternFill>
    </fill>
    <fill>
      <patternFill patternType="solid">
        <fgColor rgb="FF922B21"/>
        <bgColor rgb="FF7B241C"/>
      </patternFill>
    </fill>
    <fill>
      <patternFill patternType="solid">
        <fgColor rgb="FFE6A6A0"/>
        <bgColor rgb="FFF2C6C2"/>
      </patternFill>
    </fill>
    <fill>
      <patternFill patternType="solid">
        <fgColor rgb="FFEAD1DC"/>
        <bgColor rgb="FFD9D9D9"/>
      </patternFill>
    </fill>
    <fill>
      <patternFill patternType="solid">
        <fgColor rgb="FFF2C6C2"/>
        <bgColor rgb="FFEAD1DC"/>
      </patternFill>
    </fill>
    <fill>
      <patternFill patternType="solid">
        <fgColor rgb="FF7D6608"/>
        <bgColor rgb="FF595959"/>
      </patternFill>
    </fill>
    <fill>
      <patternFill patternType="solid">
        <fgColor rgb="FF1F6F4A"/>
        <bgColor rgb="FF2E5A88"/>
      </patternFill>
    </fill>
    <fill>
      <patternFill patternType="solid">
        <fgColor rgb="FFF7F9F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5" fontId="7" fillId="3" borderId="0" xfId="0" applyFont="true" applyBorder="fals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8" fillId="10" borderId="1" xfId="0" applyFont="true" applyBorder="true" applyAlignment="true" applyProtection="false">
      <alignment horizontal="right" vertical="center" textRotation="0" wrapText="false" indent="0" shrinkToFit="false"/>
      <protection locked="true" hidden="false"/>
    </xf>
    <xf numFmtId="166" fontId="8" fillId="10"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4" fillId="11" borderId="0" xfId="0" applyFont="true" applyBorder="true" applyAlignment="true" applyProtection="false">
      <alignment horizontal="center" vertical="center" textRotation="0" wrapText="false" indent="0" shrinkToFit="false"/>
      <protection locked="true" hidden="false"/>
    </xf>
    <xf numFmtId="164" fontId="6" fillId="12" borderId="0" xfId="0" applyFont="true" applyBorder="true" applyAlignment="true" applyProtection="false">
      <alignment horizontal="left" vertical="center" textRotation="0" wrapText="false" indent="0" shrinkToFit="false"/>
      <protection locked="true" hidden="false"/>
    </xf>
    <xf numFmtId="164" fontId="12" fillId="13" borderId="0" xfId="0" applyFont="true" applyBorder="true" applyAlignment="true" applyProtection="false">
      <alignment horizontal="left" vertical="center" textRotation="0" wrapText="false" indent="0" shrinkToFit="false"/>
      <protection locked="true" hidden="false"/>
    </xf>
    <xf numFmtId="165" fontId="12" fillId="13" borderId="0" xfId="0" applyFont="true" applyBorder="fals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false" indent="0" shrinkToFit="false"/>
      <protection locked="true" hidden="false"/>
    </xf>
    <xf numFmtId="164" fontId="8" fillId="15" borderId="1" xfId="0" applyFont="true" applyBorder="true" applyAlignment="true" applyProtection="false">
      <alignment horizontal="right" vertical="center" textRotation="0" wrapText="false" indent="0" shrinkToFit="false"/>
      <protection locked="true" hidden="false"/>
    </xf>
    <xf numFmtId="165" fontId="8" fillId="15" borderId="1" xfId="0" applyFont="true" applyBorder="true" applyAlignment="true" applyProtection="false">
      <alignment horizontal="center" vertical="center" textRotation="0" wrapText="false" indent="0" shrinkToFit="false"/>
      <protection locked="true" hidden="false"/>
    </xf>
    <xf numFmtId="164" fontId="11" fillId="11" borderId="0" xfId="0" applyFont="true" applyBorder="true" applyAlignment="true" applyProtection="false">
      <alignment horizontal="center" vertical="center" textRotation="0" wrapText="false" indent="0" shrinkToFit="false"/>
      <protection locked="true" hidden="false"/>
    </xf>
    <xf numFmtId="164" fontId="7" fillId="11" borderId="0"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1" fillId="16" borderId="0" xfId="0" applyFont="true" applyBorder="true" applyAlignment="true" applyProtection="false">
      <alignment horizontal="center" vertical="center" textRotation="0" wrapText="false" indent="0" shrinkToFit="false"/>
      <protection locked="true" hidden="false"/>
    </xf>
    <xf numFmtId="164" fontId="7" fillId="16" borderId="0" xfId="0" applyFont="true" applyBorder="true" applyAlignment="true" applyProtection="false">
      <alignment horizontal="left" vertical="center" textRotation="0" wrapText="false" indent="0" shrinkToFit="false"/>
      <protection locked="true" hidden="false"/>
    </xf>
    <xf numFmtId="164" fontId="4" fillId="17"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9" fillId="18" borderId="1" xfId="0" applyFont="true" applyBorder="true" applyAlignment="true" applyProtection="false">
      <alignment horizontal="left" vertical="center" textRotation="0" wrapText="false" indent="0" shrinkToFit="false"/>
      <protection locked="true" hidden="false"/>
    </xf>
    <xf numFmtId="164" fontId="9" fillId="18" borderId="1" xfId="0" applyFont="true" applyBorder="true" applyAlignment="true" applyProtection="false">
      <alignment horizontal="center" vertical="center" textRotation="0" wrapText="false" indent="0" shrinkToFit="false"/>
      <protection locked="true" hidden="false"/>
    </xf>
    <xf numFmtId="164" fontId="6" fillId="11"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7F9FC"/>
      <rgbColor rgb="FFFF00FF"/>
      <rgbColor rgb="FF00FFFF"/>
      <rgbColor rgb="FF7B241C"/>
      <rgbColor rgb="FF008000"/>
      <rgbColor rgb="FF000080"/>
      <rgbColor rgb="FF7D6608"/>
      <rgbColor rgb="FF800080"/>
      <rgbColor rgb="FF1F6F4A"/>
      <rgbColor rgb="FFBFBFBF"/>
      <rgbColor rgb="FF808080"/>
      <rgbColor rgb="FF9999FF"/>
      <rgbColor rgb="FFC0392B"/>
      <rgbColor rgb="FFFFF2CC"/>
      <rgbColor rgb="FFDDEBF7"/>
      <rgbColor rgb="FF660066"/>
      <rgbColor rgb="FFFF8080"/>
      <rgbColor rgb="FF2E5A88"/>
      <rgbColor rgb="FFBDD7EE"/>
      <rgbColor rgb="FF000080"/>
      <rgbColor rgb="FFFF00FF"/>
      <rgbColor rgb="FFFFFF00"/>
      <rgbColor rgb="FF00FFFF"/>
      <rgbColor rgb="FF800080"/>
      <rgbColor rgb="FF800000"/>
      <rgbColor rgb="FF008080"/>
      <rgbColor rgb="FF0000FF"/>
      <rgbColor rgb="FF00CCFF"/>
      <rgbColor rgb="FFEDF3FA"/>
      <rgbColor rgb="FFE2EFDA"/>
      <rgbColor rgb="FFFCE4D6"/>
      <rgbColor rgb="FFD9D9D9"/>
      <rgbColor rgb="FFE6A6A0"/>
      <rgbColor rgb="FFEAD1DC"/>
      <rgbColor rgb="FFF2C6C2"/>
      <rgbColor rgb="FF4472C4"/>
      <rgbColor rgb="FF33CCCC"/>
      <rgbColor rgb="FF99CC00"/>
      <rgbColor rgb="FFFFCC00"/>
      <rgbColor rgb="FFFF9900"/>
      <rgbColor rgb="FFFF6600"/>
      <rgbColor rgb="FF595959"/>
      <rgbColor rgb="FF969696"/>
      <rgbColor rgb="FF003366"/>
      <rgbColor rgb="FF339966"/>
      <rgbColor rgb="FF003300"/>
      <rgbColor rgb="FF333300"/>
      <rgbColor rgb="FF922B21"/>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69"/>
  <sheetViews>
    <sheetView showFormulas="false" showGridLines="true" showRowColHeaders="true" showZeros="true" rightToLeft="false" tabSelected="false" showOutlineSymbols="true" defaultGridColor="true" view="normal" topLeftCell="A106"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14.01"/>
    <col collapsed="false" customWidth="true" hidden="false" outlineLevel="0" max="2" min="2" style="1" width="40"/>
    <col collapsed="false" customWidth="true" hidden="false" outlineLevel="0" max="3" min="3" style="1" width="13.01"/>
    <col collapsed="false" customWidth="true" hidden="false" outlineLevel="0" max="4" min="4" style="1" width="11.99"/>
    <col collapsed="false" customWidth="true" hidden="false" outlineLevel="0" max="5" min="5" style="1" width="10"/>
  </cols>
  <sheetData>
    <row r="1" customFormat="false" ht="25.5" hidden="false" customHeight="true" outlineLevel="0" collapsed="false">
      <c r="A1" s="2" t="s">
        <v>0</v>
      </c>
      <c r="B1" s="2"/>
      <c r="C1" s="2"/>
      <c r="D1" s="2"/>
      <c r="E1" s="2"/>
    </row>
    <row r="2" customFormat="false" ht="18" hidden="false" customHeight="true" outlineLevel="0" collapsed="false">
      <c r="A2" s="3" t="s">
        <v>1</v>
      </c>
      <c r="B2" s="3"/>
      <c r="C2" s="3"/>
      <c r="D2" s="3"/>
      <c r="E2" s="3"/>
    </row>
    <row r="4" customFormat="false" ht="21.75" hidden="false" customHeight="true" outlineLevel="0" collapsed="false">
      <c r="A4" s="4" t="s">
        <v>2</v>
      </c>
      <c r="B4" s="4"/>
      <c r="C4" s="4"/>
      <c r="D4" s="4"/>
      <c r="E4" s="5" t="n">
        <f aca="false">E25</f>
        <v>1688.52</v>
      </c>
    </row>
    <row r="5" customFormat="false" ht="15" hidden="false" customHeight="true" outlineLevel="0" collapsed="false">
      <c r="A5" s="6" t="s">
        <v>3</v>
      </c>
      <c r="B5" s="7" t="s">
        <v>4</v>
      </c>
      <c r="C5" s="6" t="s">
        <v>5</v>
      </c>
      <c r="D5" s="6" t="s">
        <v>6</v>
      </c>
      <c r="E5" s="6" t="s">
        <v>7</v>
      </c>
    </row>
    <row r="6" customFormat="false" ht="15" hidden="false" customHeight="true" outlineLevel="0" collapsed="false">
      <c r="A6" s="8" t="s">
        <v>8</v>
      </c>
      <c r="B6" s="9" t="s">
        <v>9</v>
      </c>
      <c r="C6" s="10" t="n">
        <v>70</v>
      </c>
      <c r="D6" s="10" t="n">
        <v>250</v>
      </c>
      <c r="E6" s="11" t="n">
        <f aca="false">C6*D6/100</f>
        <v>175</v>
      </c>
    </row>
    <row r="7" customFormat="false" ht="15" hidden="false" customHeight="true" outlineLevel="0" collapsed="false">
      <c r="A7" s="8"/>
      <c r="B7" s="9" t="s">
        <v>10</v>
      </c>
      <c r="C7" s="10" t="n">
        <v>50</v>
      </c>
      <c r="D7" s="10" t="n">
        <v>151</v>
      </c>
      <c r="E7" s="11" t="n">
        <f aca="false">C7*D7/100</f>
        <v>75.5</v>
      </c>
    </row>
    <row r="8" customFormat="false" ht="15" hidden="false" customHeight="true" outlineLevel="0" collapsed="false">
      <c r="A8" s="8"/>
      <c r="B8" s="9" t="s">
        <v>11</v>
      </c>
      <c r="C8" s="10" t="n">
        <v>25</v>
      </c>
      <c r="D8" s="10" t="n">
        <v>392</v>
      </c>
      <c r="E8" s="11" t="n">
        <f aca="false">C8*D8/100</f>
        <v>98</v>
      </c>
    </row>
    <row r="9" customFormat="false" ht="15" hidden="false" customHeight="true" outlineLevel="0" collapsed="false">
      <c r="A9" s="8"/>
      <c r="B9" s="9" t="s">
        <v>12</v>
      </c>
      <c r="C9" s="10" t="n">
        <v>130</v>
      </c>
      <c r="D9" s="10" t="n">
        <v>39</v>
      </c>
      <c r="E9" s="11" t="n">
        <f aca="false">C9*D9/100</f>
        <v>50.7</v>
      </c>
    </row>
    <row r="10" customFormat="false" ht="15" hidden="false" customHeight="true" outlineLevel="0" collapsed="false">
      <c r="A10" s="12" t="s">
        <v>13</v>
      </c>
      <c r="B10" s="13" t="s">
        <v>14</v>
      </c>
      <c r="C10" s="14"/>
      <c r="D10" s="14"/>
      <c r="E10" s="14"/>
    </row>
    <row r="11" customFormat="false" ht="15" hidden="false" customHeight="true" outlineLevel="0" collapsed="false">
      <c r="A11" s="12"/>
      <c r="B11" s="9" t="s">
        <v>15</v>
      </c>
      <c r="C11" s="10" t="n">
        <v>180</v>
      </c>
      <c r="D11" s="10" t="n">
        <v>110</v>
      </c>
      <c r="E11" s="11" t="n">
        <f aca="false">C11*D11/100</f>
        <v>198</v>
      </c>
    </row>
    <row r="12" customFormat="false" ht="15" hidden="false" customHeight="true" outlineLevel="0" collapsed="false">
      <c r="A12" s="12"/>
      <c r="B12" s="9" t="s">
        <v>16</v>
      </c>
      <c r="C12" s="10" t="n">
        <v>60</v>
      </c>
      <c r="D12" s="10" t="n">
        <v>73</v>
      </c>
      <c r="E12" s="11" t="n">
        <f aca="false">C12*D12/100</f>
        <v>43.8</v>
      </c>
    </row>
    <row r="13" customFormat="false" ht="15" hidden="false" customHeight="true" outlineLevel="0" collapsed="false">
      <c r="A13" s="12"/>
      <c r="B13" s="9" t="s">
        <v>17</v>
      </c>
      <c r="C13" s="10" t="n">
        <v>40</v>
      </c>
      <c r="D13" s="10" t="n">
        <v>40</v>
      </c>
      <c r="E13" s="11" t="n">
        <f aca="false">C13*D13/100</f>
        <v>16</v>
      </c>
    </row>
    <row r="14" customFormat="false" ht="15" hidden="false" customHeight="true" outlineLevel="0" collapsed="false">
      <c r="A14" s="12"/>
      <c r="B14" s="9" t="s">
        <v>18</v>
      </c>
      <c r="C14" s="10" t="n">
        <v>10</v>
      </c>
      <c r="D14" s="10" t="n">
        <v>900</v>
      </c>
      <c r="E14" s="11" t="n">
        <f aca="false">C14*D14/100</f>
        <v>90</v>
      </c>
    </row>
    <row r="15" customFormat="false" ht="15" hidden="false" customHeight="true" outlineLevel="0" collapsed="false">
      <c r="A15" s="12"/>
      <c r="B15" s="9" t="s">
        <v>9</v>
      </c>
      <c r="C15" s="10" t="n">
        <v>60</v>
      </c>
      <c r="D15" s="10" t="n">
        <v>250</v>
      </c>
      <c r="E15" s="11" t="n">
        <f aca="false">C15*D15/100</f>
        <v>150</v>
      </c>
    </row>
    <row r="16" customFormat="false" ht="15" hidden="false" customHeight="true" outlineLevel="0" collapsed="false">
      <c r="A16" s="12"/>
      <c r="B16" s="9" t="s">
        <v>19</v>
      </c>
      <c r="C16" s="10" t="n">
        <v>100</v>
      </c>
      <c r="D16" s="10" t="n">
        <v>15</v>
      </c>
      <c r="E16" s="11" t="n">
        <f aca="false">C16*D16/100</f>
        <v>15</v>
      </c>
    </row>
    <row r="17" customFormat="false" ht="15" hidden="false" customHeight="true" outlineLevel="0" collapsed="false">
      <c r="A17" s="15" t="s">
        <v>20</v>
      </c>
      <c r="B17" s="9" t="s">
        <v>21</v>
      </c>
      <c r="C17" s="10" t="n">
        <v>170</v>
      </c>
      <c r="D17" s="10" t="n">
        <v>73</v>
      </c>
      <c r="E17" s="11" t="n">
        <f aca="false">C17*D17/100</f>
        <v>124.1</v>
      </c>
    </row>
    <row r="18" customFormat="false" ht="15" hidden="false" customHeight="true" outlineLevel="0" collapsed="false">
      <c r="A18" s="15"/>
      <c r="B18" s="9" t="s">
        <v>22</v>
      </c>
      <c r="C18" s="10" t="n">
        <v>18</v>
      </c>
      <c r="D18" s="10" t="n">
        <v>654</v>
      </c>
      <c r="E18" s="11" t="n">
        <f aca="false">C18*D18/100</f>
        <v>117.72</v>
      </c>
    </row>
    <row r="19" customFormat="false" ht="15" hidden="false" customHeight="true" outlineLevel="0" collapsed="false">
      <c r="A19" s="16" t="s">
        <v>23</v>
      </c>
      <c r="B19" s="13" t="s">
        <v>24</v>
      </c>
      <c r="C19" s="14"/>
      <c r="D19" s="14"/>
      <c r="E19" s="14"/>
    </row>
    <row r="20" customFormat="false" ht="15" hidden="false" customHeight="true" outlineLevel="0" collapsed="false">
      <c r="A20" s="16"/>
      <c r="B20" s="9" t="s">
        <v>25</v>
      </c>
      <c r="C20" s="10" t="n">
        <v>90</v>
      </c>
      <c r="D20" s="10" t="n">
        <v>353</v>
      </c>
      <c r="E20" s="11" t="n">
        <f aca="false">C20*D20/100</f>
        <v>317.7</v>
      </c>
    </row>
    <row r="21" customFormat="false" ht="15" hidden="false" customHeight="true" outlineLevel="0" collapsed="false">
      <c r="A21" s="16"/>
      <c r="B21" s="9" t="s">
        <v>26</v>
      </c>
      <c r="C21" s="10" t="n">
        <v>200</v>
      </c>
      <c r="D21" s="10" t="n">
        <v>18</v>
      </c>
      <c r="E21" s="11" t="n">
        <f aca="false">C21*D21/100</f>
        <v>36</v>
      </c>
    </row>
    <row r="22" customFormat="false" ht="15" hidden="false" customHeight="true" outlineLevel="0" collapsed="false">
      <c r="A22" s="16"/>
      <c r="B22" s="9" t="s">
        <v>18</v>
      </c>
      <c r="C22" s="10" t="n">
        <v>10</v>
      </c>
      <c r="D22" s="10" t="n">
        <v>900</v>
      </c>
      <c r="E22" s="11" t="n">
        <f aca="false">C22*D22/100</f>
        <v>90</v>
      </c>
    </row>
    <row r="23" customFormat="false" ht="15" hidden="false" customHeight="true" outlineLevel="0" collapsed="false">
      <c r="A23" s="16"/>
      <c r="B23" s="9" t="s">
        <v>27</v>
      </c>
      <c r="C23" s="10" t="n">
        <v>20</v>
      </c>
      <c r="D23" s="10" t="n">
        <v>392</v>
      </c>
      <c r="E23" s="11" t="n">
        <f aca="false">C23*D23/100</f>
        <v>78.4</v>
      </c>
    </row>
    <row r="24" customFormat="false" ht="15" hidden="false" customHeight="true" outlineLevel="0" collapsed="false">
      <c r="A24" s="16"/>
      <c r="B24" s="9" t="s">
        <v>28</v>
      </c>
      <c r="C24" s="10" t="n">
        <v>60</v>
      </c>
      <c r="D24" s="10" t="n">
        <v>21</v>
      </c>
      <c r="E24" s="11" t="n">
        <f aca="false">C24*D24/100</f>
        <v>12.6</v>
      </c>
    </row>
    <row r="25" customFormat="false" ht="15" hidden="false" customHeight="true" outlineLevel="0" collapsed="false">
      <c r="A25" s="17"/>
      <c r="B25" s="17"/>
      <c r="C25" s="17"/>
      <c r="D25" s="18" t="s">
        <v>29</v>
      </c>
      <c r="E25" s="19" t="n">
        <f aca="false">SUM(E6:E24)</f>
        <v>1688.52</v>
      </c>
    </row>
    <row r="27" customFormat="false" ht="21.75" hidden="false" customHeight="true" outlineLevel="0" collapsed="false">
      <c r="A27" s="4" t="s">
        <v>30</v>
      </c>
      <c r="B27" s="4"/>
      <c r="C27" s="4"/>
      <c r="D27" s="4"/>
      <c r="E27" s="5" t="n">
        <f aca="false">E48</f>
        <v>1700.5</v>
      </c>
    </row>
    <row r="28" customFormat="false" ht="15" hidden="false" customHeight="true" outlineLevel="0" collapsed="false">
      <c r="A28" s="6" t="s">
        <v>3</v>
      </c>
      <c r="B28" s="7" t="s">
        <v>4</v>
      </c>
      <c r="C28" s="6" t="s">
        <v>5</v>
      </c>
      <c r="D28" s="6" t="s">
        <v>6</v>
      </c>
      <c r="E28" s="6" t="s">
        <v>7</v>
      </c>
    </row>
    <row r="29" customFormat="false" ht="15" hidden="false" customHeight="true" outlineLevel="0" collapsed="false">
      <c r="A29" s="8" t="s">
        <v>8</v>
      </c>
      <c r="B29" s="9" t="s">
        <v>31</v>
      </c>
      <c r="C29" s="10" t="n">
        <v>40</v>
      </c>
      <c r="D29" s="10" t="n">
        <v>408</v>
      </c>
      <c r="E29" s="11" t="n">
        <f aca="false">C29*D29/100</f>
        <v>163.2</v>
      </c>
    </row>
    <row r="30" customFormat="false" ht="15" hidden="false" customHeight="true" outlineLevel="0" collapsed="false">
      <c r="A30" s="8"/>
      <c r="B30" s="9" t="s">
        <v>32</v>
      </c>
      <c r="C30" s="10" t="n">
        <v>40</v>
      </c>
      <c r="D30" s="10" t="n">
        <v>130</v>
      </c>
      <c r="E30" s="11" t="n">
        <f aca="false">C30*D30/100</f>
        <v>52</v>
      </c>
    </row>
    <row r="31" customFormat="false" ht="15" hidden="false" customHeight="true" outlineLevel="0" collapsed="false">
      <c r="A31" s="8"/>
      <c r="B31" s="9" t="s">
        <v>21</v>
      </c>
      <c r="C31" s="10" t="n">
        <v>170</v>
      </c>
      <c r="D31" s="10" t="n">
        <v>73</v>
      </c>
      <c r="E31" s="11" t="n">
        <f aca="false">C31*D31/100</f>
        <v>124.1</v>
      </c>
    </row>
    <row r="32" customFormat="false" ht="15" hidden="false" customHeight="true" outlineLevel="0" collapsed="false">
      <c r="A32" s="8"/>
      <c r="B32" s="9" t="s">
        <v>33</v>
      </c>
      <c r="C32" s="10" t="n">
        <v>100</v>
      </c>
      <c r="D32" s="10" t="n">
        <v>89</v>
      </c>
      <c r="E32" s="11" t="n">
        <f aca="false">C32*D32/100</f>
        <v>89</v>
      </c>
    </row>
    <row r="33" customFormat="false" ht="15" hidden="false" customHeight="true" outlineLevel="0" collapsed="false">
      <c r="A33" s="12" t="s">
        <v>13</v>
      </c>
      <c r="B33" s="13" t="s">
        <v>34</v>
      </c>
      <c r="C33" s="14"/>
      <c r="D33" s="14"/>
      <c r="E33" s="14"/>
    </row>
    <row r="34" customFormat="false" ht="15" hidden="false" customHeight="true" outlineLevel="0" collapsed="false">
      <c r="A34" s="12"/>
      <c r="B34" s="9" t="s">
        <v>15</v>
      </c>
      <c r="C34" s="10" t="n">
        <v>170</v>
      </c>
      <c r="D34" s="10" t="n">
        <v>110</v>
      </c>
      <c r="E34" s="11" t="n">
        <f aca="false">C34*D34/100</f>
        <v>187</v>
      </c>
    </row>
    <row r="35" customFormat="false" ht="15" hidden="false" customHeight="true" outlineLevel="0" collapsed="false">
      <c r="A35" s="12"/>
      <c r="B35" s="9" t="s">
        <v>35</v>
      </c>
      <c r="C35" s="10" t="n">
        <v>150</v>
      </c>
      <c r="D35" s="10" t="n">
        <v>22</v>
      </c>
      <c r="E35" s="11" t="n">
        <f aca="false">C35*D35/100</f>
        <v>33</v>
      </c>
    </row>
    <row r="36" customFormat="false" ht="15" hidden="false" customHeight="true" outlineLevel="0" collapsed="false">
      <c r="A36" s="12"/>
      <c r="B36" s="9" t="s">
        <v>36</v>
      </c>
      <c r="C36" s="10" t="n">
        <v>10</v>
      </c>
      <c r="D36" s="10" t="n">
        <v>340</v>
      </c>
      <c r="E36" s="11" t="n">
        <f aca="false">C36*D36/100</f>
        <v>34</v>
      </c>
    </row>
    <row r="37" customFormat="false" ht="15" hidden="false" customHeight="true" outlineLevel="0" collapsed="false">
      <c r="A37" s="12"/>
      <c r="B37" s="9" t="s">
        <v>18</v>
      </c>
      <c r="C37" s="10" t="n">
        <v>10</v>
      </c>
      <c r="D37" s="10" t="n">
        <v>900</v>
      </c>
      <c r="E37" s="11" t="n">
        <f aca="false">C37*D37/100</f>
        <v>90</v>
      </c>
    </row>
    <row r="38" customFormat="false" ht="15" hidden="false" customHeight="true" outlineLevel="0" collapsed="false">
      <c r="A38" s="12"/>
      <c r="B38" s="9" t="s">
        <v>9</v>
      </c>
      <c r="C38" s="10" t="n">
        <v>55</v>
      </c>
      <c r="D38" s="10" t="n">
        <v>250</v>
      </c>
      <c r="E38" s="11" t="n">
        <f aca="false">C38*D38/100</f>
        <v>137.5</v>
      </c>
    </row>
    <row r="39" customFormat="false" ht="15" hidden="false" customHeight="true" outlineLevel="0" collapsed="false">
      <c r="A39" s="12"/>
      <c r="B39" s="9" t="s">
        <v>19</v>
      </c>
      <c r="C39" s="10" t="n">
        <v>100</v>
      </c>
      <c r="D39" s="10" t="n">
        <v>15</v>
      </c>
      <c r="E39" s="11" t="n">
        <f aca="false">C39*D39/100</f>
        <v>15</v>
      </c>
    </row>
    <row r="40" customFormat="false" ht="15" hidden="false" customHeight="true" outlineLevel="0" collapsed="false">
      <c r="A40" s="15" t="s">
        <v>20</v>
      </c>
      <c r="B40" s="9" t="s">
        <v>37</v>
      </c>
      <c r="C40" s="10" t="n">
        <v>150</v>
      </c>
      <c r="D40" s="10" t="n">
        <v>98</v>
      </c>
      <c r="E40" s="11" t="n">
        <f aca="false">C40*D40/100</f>
        <v>147</v>
      </c>
    </row>
    <row r="41" customFormat="false" ht="15" hidden="false" customHeight="true" outlineLevel="0" collapsed="false">
      <c r="A41" s="15"/>
      <c r="B41" s="9" t="s">
        <v>12</v>
      </c>
      <c r="C41" s="10" t="n">
        <v>130</v>
      </c>
      <c r="D41" s="10" t="n">
        <v>39</v>
      </c>
      <c r="E41" s="11" t="n">
        <f aca="false">C41*D41/100</f>
        <v>50.7</v>
      </c>
    </row>
    <row r="42" customFormat="false" ht="15" hidden="false" customHeight="true" outlineLevel="0" collapsed="false">
      <c r="A42" s="16" t="s">
        <v>23</v>
      </c>
      <c r="B42" s="13" t="s">
        <v>38</v>
      </c>
      <c r="C42" s="14"/>
      <c r="D42" s="14"/>
      <c r="E42" s="14"/>
    </row>
    <row r="43" customFormat="false" ht="15" hidden="false" customHeight="true" outlineLevel="0" collapsed="false">
      <c r="A43" s="16"/>
      <c r="B43" s="9" t="s">
        <v>39</v>
      </c>
      <c r="C43" s="10" t="n">
        <v>85</v>
      </c>
      <c r="D43" s="10" t="n">
        <v>350</v>
      </c>
      <c r="E43" s="11" t="n">
        <f aca="false">C43*D43/100</f>
        <v>297.5</v>
      </c>
    </row>
    <row r="44" customFormat="false" ht="15" hidden="false" customHeight="true" outlineLevel="0" collapsed="false">
      <c r="A44" s="16"/>
      <c r="B44" s="9" t="s">
        <v>40</v>
      </c>
      <c r="C44" s="10" t="n">
        <v>150</v>
      </c>
      <c r="D44" s="10" t="n">
        <v>108</v>
      </c>
      <c r="E44" s="11" t="n">
        <f aca="false">C44*D44/100</f>
        <v>162</v>
      </c>
    </row>
    <row r="45" customFormat="false" ht="15" hidden="false" customHeight="true" outlineLevel="0" collapsed="false">
      <c r="A45" s="16"/>
      <c r="B45" s="9" t="s">
        <v>18</v>
      </c>
      <c r="C45" s="10" t="n">
        <v>10</v>
      </c>
      <c r="D45" s="10" t="n">
        <v>900</v>
      </c>
      <c r="E45" s="11" t="n">
        <f aca="false">C45*D45/100</f>
        <v>90</v>
      </c>
    </row>
    <row r="46" customFormat="false" ht="15" hidden="false" customHeight="true" outlineLevel="0" collapsed="false">
      <c r="A46" s="16"/>
      <c r="B46" s="9" t="s">
        <v>41</v>
      </c>
      <c r="C46" s="10" t="n">
        <v>100</v>
      </c>
      <c r="D46" s="10" t="n">
        <v>18</v>
      </c>
      <c r="E46" s="11" t="n">
        <f aca="false">C46*D46/100</f>
        <v>18</v>
      </c>
    </row>
    <row r="47" customFormat="false" ht="15" hidden="false" customHeight="true" outlineLevel="0" collapsed="false">
      <c r="A47" s="16"/>
      <c r="B47" s="9" t="s">
        <v>28</v>
      </c>
      <c r="C47" s="10" t="n">
        <v>50</v>
      </c>
      <c r="D47" s="10" t="n">
        <v>21</v>
      </c>
      <c r="E47" s="11" t="n">
        <f aca="false">C47*D47/100</f>
        <v>10.5</v>
      </c>
    </row>
    <row r="48" customFormat="false" ht="15" hidden="false" customHeight="true" outlineLevel="0" collapsed="false">
      <c r="A48" s="17"/>
      <c r="B48" s="17"/>
      <c r="C48" s="17"/>
      <c r="D48" s="18" t="s">
        <v>29</v>
      </c>
      <c r="E48" s="19" t="n">
        <f aca="false">SUM(E29:E47)</f>
        <v>1700.5</v>
      </c>
    </row>
    <row r="50" customFormat="false" ht="21.75" hidden="false" customHeight="true" outlineLevel="0" collapsed="false">
      <c r="A50" s="4" t="s">
        <v>42</v>
      </c>
      <c r="B50" s="4"/>
      <c r="C50" s="4"/>
      <c r="D50" s="4"/>
      <c r="E50" s="5" t="n">
        <f aca="false">E72</f>
        <v>1700.3</v>
      </c>
    </row>
    <row r="51" customFormat="false" ht="15" hidden="false" customHeight="true" outlineLevel="0" collapsed="false">
      <c r="A51" s="6" t="s">
        <v>3</v>
      </c>
      <c r="B51" s="7" t="s">
        <v>4</v>
      </c>
      <c r="C51" s="6" t="s">
        <v>5</v>
      </c>
      <c r="D51" s="6" t="s">
        <v>6</v>
      </c>
      <c r="E51" s="6" t="s">
        <v>7</v>
      </c>
    </row>
    <row r="52" customFormat="false" ht="15" hidden="false" customHeight="true" outlineLevel="0" collapsed="false">
      <c r="A52" s="8" t="s">
        <v>8</v>
      </c>
      <c r="B52" s="9" t="s">
        <v>21</v>
      </c>
      <c r="C52" s="10" t="n">
        <v>170</v>
      </c>
      <c r="D52" s="10" t="n">
        <v>73</v>
      </c>
      <c r="E52" s="11" t="n">
        <f aca="false">C52*D52/100</f>
        <v>124.1</v>
      </c>
    </row>
    <row r="53" customFormat="false" ht="15" hidden="false" customHeight="true" outlineLevel="0" collapsed="false">
      <c r="A53" s="8"/>
      <c r="B53" s="9" t="s">
        <v>43</v>
      </c>
      <c r="C53" s="10" t="n">
        <v>45</v>
      </c>
      <c r="D53" s="10" t="n">
        <v>430</v>
      </c>
      <c r="E53" s="11" t="n">
        <f aca="false">C53*D53/100</f>
        <v>193.5</v>
      </c>
    </row>
    <row r="54" customFormat="false" ht="15" hidden="false" customHeight="true" outlineLevel="0" collapsed="false">
      <c r="A54" s="8"/>
      <c r="B54" s="9" t="s">
        <v>33</v>
      </c>
      <c r="C54" s="10" t="n">
        <v>100</v>
      </c>
      <c r="D54" s="10" t="n">
        <v>89</v>
      </c>
      <c r="E54" s="11" t="n">
        <f aca="false">C54*D54/100</f>
        <v>89</v>
      </c>
    </row>
    <row r="55" customFormat="false" ht="15" hidden="false" customHeight="true" outlineLevel="0" collapsed="false">
      <c r="A55" s="12" t="s">
        <v>13</v>
      </c>
      <c r="B55" s="13" t="s">
        <v>44</v>
      </c>
      <c r="C55" s="14"/>
      <c r="D55" s="14"/>
      <c r="E55" s="14"/>
    </row>
    <row r="56" customFormat="false" ht="15" hidden="false" customHeight="true" outlineLevel="0" collapsed="false">
      <c r="A56" s="12"/>
      <c r="B56" s="9" t="s">
        <v>15</v>
      </c>
      <c r="C56" s="10" t="n">
        <v>160</v>
      </c>
      <c r="D56" s="10" t="n">
        <v>110</v>
      </c>
      <c r="E56" s="11" t="n">
        <f aca="false">C56*D56/100</f>
        <v>176</v>
      </c>
    </row>
    <row r="57" customFormat="false" ht="15" hidden="false" customHeight="true" outlineLevel="0" collapsed="false">
      <c r="A57" s="12"/>
      <c r="B57" s="9" t="s">
        <v>45</v>
      </c>
      <c r="C57" s="10" t="n">
        <v>25</v>
      </c>
      <c r="D57" s="10" t="n">
        <v>350</v>
      </c>
      <c r="E57" s="11" t="n">
        <f aca="false">C57*D57/100</f>
        <v>87.5</v>
      </c>
    </row>
    <row r="58" customFormat="false" ht="15" hidden="false" customHeight="true" outlineLevel="0" collapsed="false">
      <c r="A58" s="12"/>
      <c r="B58" s="9" t="s">
        <v>46</v>
      </c>
      <c r="C58" s="10" t="n">
        <v>30</v>
      </c>
      <c r="D58" s="10" t="n">
        <v>143</v>
      </c>
      <c r="E58" s="11" t="n">
        <f aca="false">C58*D58/100</f>
        <v>42.9</v>
      </c>
    </row>
    <row r="59" customFormat="false" ht="15" hidden="false" customHeight="true" outlineLevel="0" collapsed="false">
      <c r="A59" s="12"/>
      <c r="B59" s="9" t="s">
        <v>28</v>
      </c>
      <c r="C59" s="10" t="n">
        <v>60</v>
      </c>
      <c r="D59" s="10" t="n">
        <v>21</v>
      </c>
      <c r="E59" s="11" t="n">
        <f aca="false">C59*D59/100</f>
        <v>12.6</v>
      </c>
    </row>
    <row r="60" customFormat="false" ht="15" hidden="false" customHeight="true" outlineLevel="0" collapsed="false">
      <c r="A60" s="12"/>
      <c r="B60" s="9" t="s">
        <v>19</v>
      </c>
      <c r="C60" s="10" t="n">
        <v>100</v>
      </c>
      <c r="D60" s="10" t="n">
        <v>15</v>
      </c>
      <c r="E60" s="11" t="n">
        <f aca="false">C60*D60/100</f>
        <v>15</v>
      </c>
    </row>
    <row r="61" customFormat="false" ht="15" hidden="false" customHeight="true" outlineLevel="0" collapsed="false">
      <c r="A61" s="12"/>
      <c r="B61" s="9" t="s">
        <v>41</v>
      </c>
      <c r="C61" s="10" t="n">
        <v>100</v>
      </c>
      <c r="D61" s="10" t="n">
        <v>18</v>
      </c>
      <c r="E61" s="11" t="n">
        <f aca="false">C61*D61/100</f>
        <v>18</v>
      </c>
    </row>
    <row r="62" customFormat="false" ht="15" hidden="false" customHeight="true" outlineLevel="0" collapsed="false">
      <c r="A62" s="12"/>
      <c r="B62" s="9" t="s">
        <v>18</v>
      </c>
      <c r="C62" s="10" t="n">
        <v>8</v>
      </c>
      <c r="D62" s="10" t="n">
        <v>900</v>
      </c>
      <c r="E62" s="11" t="n">
        <f aca="false">C62*D62/100</f>
        <v>72</v>
      </c>
    </row>
    <row r="63" customFormat="false" ht="15" hidden="false" customHeight="true" outlineLevel="0" collapsed="false">
      <c r="A63" s="12"/>
      <c r="B63" s="9" t="s">
        <v>9</v>
      </c>
      <c r="C63" s="10" t="n">
        <v>50</v>
      </c>
      <c r="D63" s="10" t="n">
        <v>250</v>
      </c>
      <c r="E63" s="11" t="n">
        <f aca="false">C63*D63/100</f>
        <v>125</v>
      </c>
    </row>
    <row r="64" customFormat="false" ht="15" hidden="false" customHeight="true" outlineLevel="0" collapsed="false">
      <c r="A64" s="15" t="s">
        <v>20</v>
      </c>
      <c r="B64" s="9" t="s">
        <v>9</v>
      </c>
      <c r="C64" s="10" t="n">
        <v>40</v>
      </c>
      <c r="D64" s="10" t="n">
        <v>250</v>
      </c>
      <c r="E64" s="11" t="n">
        <f aca="false">C64*D64/100</f>
        <v>100</v>
      </c>
    </row>
    <row r="65" customFormat="false" ht="15" hidden="false" customHeight="true" outlineLevel="0" collapsed="false">
      <c r="A65" s="15"/>
      <c r="B65" s="9" t="s">
        <v>10</v>
      </c>
      <c r="C65" s="10" t="n">
        <v>40</v>
      </c>
      <c r="D65" s="10" t="n">
        <v>151</v>
      </c>
      <c r="E65" s="11" t="n">
        <f aca="false">C65*D65/100</f>
        <v>60.4</v>
      </c>
    </row>
    <row r="66" customFormat="false" ht="15" hidden="false" customHeight="true" outlineLevel="0" collapsed="false">
      <c r="A66" s="15"/>
      <c r="B66" s="9" t="s">
        <v>11</v>
      </c>
      <c r="C66" s="10" t="n">
        <v>15</v>
      </c>
      <c r="D66" s="10" t="n">
        <v>392</v>
      </c>
      <c r="E66" s="11" t="n">
        <f aca="false">C66*D66/100</f>
        <v>58.8</v>
      </c>
    </row>
    <row r="67" customFormat="false" ht="15" hidden="false" customHeight="true" outlineLevel="0" collapsed="false">
      <c r="A67" s="16" t="s">
        <v>23</v>
      </c>
      <c r="B67" s="13" t="s">
        <v>47</v>
      </c>
      <c r="C67" s="14"/>
      <c r="D67" s="14"/>
      <c r="E67" s="14"/>
    </row>
    <row r="68" customFormat="false" ht="15" hidden="false" customHeight="true" outlineLevel="0" collapsed="false">
      <c r="A68" s="16"/>
      <c r="B68" s="9" t="s">
        <v>25</v>
      </c>
      <c r="C68" s="10" t="n">
        <v>70</v>
      </c>
      <c r="D68" s="10" t="n">
        <v>353</v>
      </c>
      <c r="E68" s="11" t="n">
        <f aca="false">C68*D68/100</f>
        <v>247.1</v>
      </c>
    </row>
    <row r="69" customFormat="false" ht="15" hidden="false" customHeight="true" outlineLevel="0" collapsed="false">
      <c r="A69" s="16"/>
      <c r="B69" s="9" t="s">
        <v>48</v>
      </c>
      <c r="C69" s="10" t="n">
        <v>150</v>
      </c>
      <c r="D69" s="10" t="n">
        <v>116</v>
      </c>
      <c r="E69" s="11" t="n">
        <f aca="false">C69*D69/100</f>
        <v>174</v>
      </c>
    </row>
    <row r="70" customFormat="false" ht="15" hidden="false" customHeight="true" outlineLevel="0" collapsed="false">
      <c r="A70" s="16"/>
      <c r="B70" s="9" t="s">
        <v>26</v>
      </c>
      <c r="C70" s="10" t="n">
        <v>80</v>
      </c>
      <c r="D70" s="10" t="n">
        <v>18</v>
      </c>
      <c r="E70" s="11" t="n">
        <f aca="false">C70*D70/100</f>
        <v>14.4</v>
      </c>
    </row>
    <row r="71" customFormat="false" ht="15" hidden="false" customHeight="true" outlineLevel="0" collapsed="false">
      <c r="A71" s="16"/>
      <c r="B71" s="9" t="s">
        <v>18</v>
      </c>
      <c r="C71" s="10" t="n">
        <v>10</v>
      </c>
      <c r="D71" s="10" t="n">
        <v>900</v>
      </c>
      <c r="E71" s="11" t="n">
        <f aca="false">C71*D71/100</f>
        <v>90</v>
      </c>
    </row>
    <row r="72" customFormat="false" ht="15" hidden="false" customHeight="true" outlineLevel="0" collapsed="false">
      <c r="A72" s="17"/>
      <c r="B72" s="17"/>
      <c r="C72" s="17"/>
      <c r="D72" s="18" t="s">
        <v>29</v>
      </c>
      <c r="E72" s="19" t="n">
        <f aca="false">SUM(E52:E71)</f>
        <v>1700.3</v>
      </c>
    </row>
    <row r="74" customFormat="false" ht="21.75" hidden="false" customHeight="true" outlineLevel="0" collapsed="false">
      <c r="A74" s="4" t="s">
        <v>49</v>
      </c>
      <c r="B74" s="4"/>
      <c r="C74" s="4"/>
      <c r="D74" s="4"/>
      <c r="E74" s="5" t="n">
        <f aca="false">E95</f>
        <v>1702.6</v>
      </c>
    </row>
    <row r="75" customFormat="false" ht="15" hidden="false" customHeight="true" outlineLevel="0" collapsed="false">
      <c r="A75" s="6" t="s">
        <v>3</v>
      </c>
      <c r="B75" s="7" t="s">
        <v>4</v>
      </c>
      <c r="C75" s="6" t="s">
        <v>5</v>
      </c>
      <c r="D75" s="6" t="s">
        <v>6</v>
      </c>
      <c r="E75" s="6" t="s">
        <v>7</v>
      </c>
    </row>
    <row r="76" customFormat="false" ht="15" hidden="false" customHeight="true" outlineLevel="0" collapsed="false">
      <c r="A76" s="8" t="s">
        <v>8</v>
      </c>
      <c r="B76" s="9" t="s">
        <v>9</v>
      </c>
      <c r="C76" s="10" t="n">
        <v>70</v>
      </c>
      <c r="D76" s="10" t="n">
        <v>250</v>
      </c>
      <c r="E76" s="11" t="n">
        <f aca="false">C76*D76/100</f>
        <v>175</v>
      </c>
    </row>
    <row r="77" customFormat="false" ht="15" hidden="false" customHeight="true" outlineLevel="0" collapsed="false">
      <c r="A77" s="8"/>
      <c r="B77" s="9" t="s">
        <v>50</v>
      </c>
      <c r="C77" s="10" t="n">
        <v>45</v>
      </c>
      <c r="D77" s="10" t="n">
        <v>240</v>
      </c>
      <c r="E77" s="11" t="n">
        <f aca="false">C77*D77/100</f>
        <v>108</v>
      </c>
    </row>
    <row r="78" customFormat="false" ht="15" hidden="false" customHeight="true" outlineLevel="0" collapsed="false">
      <c r="A78" s="8"/>
      <c r="B78" s="9" t="s">
        <v>11</v>
      </c>
      <c r="C78" s="10" t="n">
        <v>20</v>
      </c>
      <c r="D78" s="10" t="n">
        <v>392</v>
      </c>
      <c r="E78" s="11" t="n">
        <f aca="false">C78*D78/100</f>
        <v>78.4</v>
      </c>
    </row>
    <row r="79" customFormat="false" ht="15" hidden="false" customHeight="true" outlineLevel="0" collapsed="false">
      <c r="A79" s="8"/>
      <c r="B79" s="9" t="s">
        <v>51</v>
      </c>
      <c r="C79" s="10" t="n">
        <v>200</v>
      </c>
      <c r="D79" s="10" t="n">
        <v>30</v>
      </c>
      <c r="E79" s="11" t="n">
        <f aca="false">C79*D79/100</f>
        <v>60</v>
      </c>
    </row>
    <row r="80" customFormat="false" ht="15" hidden="false" customHeight="true" outlineLevel="0" collapsed="false">
      <c r="A80" s="12" t="s">
        <v>13</v>
      </c>
      <c r="B80" s="13" t="s">
        <v>52</v>
      </c>
      <c r="C80" s="14"/>
      <c r="D80" s="14"/>
      <c r="E80" s="14"/>
    </row>
    <row r="81" customFormat="false" ht="15" hidden="false" customHeight="true" outlineLevel="0" collapsed="false">
      <c r="A81" s="12"/>
      <c r="B81" s="9" t="s">
        <v>53</v>
      </c>
      <c r="C81" s="10" t="n">
        <v>80</v>
      </c>
      <c r="D81" s="10" t="n">
        <v>290</v>
      </c>
      <c r="E81" s="11" t="n">
        <f aca="false">C81*D81/100</f>
        <v>232</v>
      </c>
    </row>
    <row r="82" customFormat="false" ht="15" hidden="false" customHeight="true" outlineLevel="0" collapsed="false">
      <c r="A82" s="12"/>
      <c r="B82" s="9" t="s">
        <v>54</v>
      </c>
      <c r="C82" s="10" t="n">
        <v>130</v>
      </c>
      <c r="D82" s="10" t="n">
        <v>140</v>
      </c>
      <c r="E82" s="11" t="n">
        <f aca="false">C82*D82/100</f>
        <v>182</v>
      </c>
    </row>
    <row r="83" customFormat="false" ht="15" hidden="false" customHeight="true" outlineLevel="0" collapsed="false">
      <c r="A83" s="12"/>
      <c r="B83" s="9" t="s">
        <v>55</v>
      </c>
      <c r="C83" s="10" t="n">
        <v>90</v>
      </c>
      <c r="D83" s="10" t="n">
        <v>120</v>
      </c>
      <c r="E83" s="11" t="n">
        <f aca="false">C83*D83/100</f>
        <v>108</v>
      </c>
    </row>
    <row r="84" customFormat="false" ht="15" hidden="false" customHeight="true" outlineLevel="0" collapsed="false">
      <c r="A84" s="12"/>
      <c r="B84" s="9" t="s">
        <v>26</v>
      </c>
      <c r="C84" s="10" t="n">
        <v>80</v>
      </c>
      <c r="D84" s="10" t="n">
        <v>18</v>
      </c>
      <c r="E84" s="11" t="n">
        <f aca="false">C84*D84/100</f>
        <v>14.4</v>
      </c>
    </row>
    <row r="85" customFormat="false" ht="15" hidden="false" customHeight="true" outlineLevel="0" collapsed="false">
      <c r="A85" s="12"/>
      <c r="B85" s="9" t="s">
        <v>17</v>
      </c>
      <c r="C85" s="10" t="n">
        <v>40</v>
      </c>
      <c r="D85" s="10" t="n">
        <v>40</v>
      </c>
      <c r="E85" s="11" t="n">
        <f aca="false">C85*D85/100</f>
        <v>16</v>
      </c>
    </row>
    <row r="86" customFormat="false" ht="15" hidden="false" customHeight="true" outlineLevel="0" collapsed="false">
      <c r="A86" s="12"/>
      <c r="B86" s="9" t="s">
        <v>56</v>
      </c>
      <c r="C86" s="10" t="n">
        <v>25</v>
      </c>
      <c r="D86" s="10" t="n">
        <v>180</v>
      </c>
      <c r="E86" s="11" t="n">
        <f aca="false">C86*D86/100</f>
        <v>45</v>
      </c>
    </row>
    <row r="87" customFormat="false" ht="15" hidden="false" customHeight="true" outlineLevel="0" collapsed="false">
      <c r="A87" s="15" t="s">
        <v>20</v>
      </c>
      <c r="B87" s="9" t="s">
        <v>21</v>
      </c>
      <c r="C87" s="10" t="n">
        <v>170</v>
      </c>
      <c r="D87" s="10" t="n">
        <v>73</v>
      </c>
      <c r="E87" s="11" t="n">
        <f aca="false">C87*D87/100</f>
        <v>124.1</v>
      </c>
    </row>
    <row r="88" customFormat="false" ht="15" hidden="false" customHeight="true" outlineLevel="0" collapsed="false">
      <c r="A88" s="15"/>
      <c r="B88" s="9" t="s">
        <v>22</v>
      </c>
      <c r="C88" s="10" t="n">
        <v>10</v>
      </c>
      <c r="D88" s="10" t="n">
        <v>654</v>
      </c>
      <c r="E88" s="11" t="n">
        <f aca="false">C88*D88/100</f>
        <v>65.4</v>
      </c>
    </row>
    <row r="89" customFormat="false" ht="15" hidden="false" customHeight="true" outlineLevel="0" collapsed="false">
      <c r="A89" s="16" t="s">
        <v>23</v>
      </c>
      <c r="B89" s="13" t="s">
        <v>57</v>
      </c>
      <c r="C89" s="14"/>
      <c r="D89" s="14"/>
      <c r="E89" s="14"/>
    </row>
    <row r="90" customFormat="false" ht="15" hidden="false" customHeight="true" outlineLevel="0" collapsed="false">
      <c r="A90" s="16"/>
      <c r="B90" s="9" t="s">
        <v>39</v>
      </c>
      <c r="C90" s="10" t="n">
        <v>70</v>
      </c>
      <c r="D90" s="10" t="n">
        <v>350</v>
      </c>
      <c r="E90" s="11" t="n">
        <f aca="false">C90*D90/100</f>
        <v>245</v>
      </c>
    </row>
    <row r="91" customFormat="false" ht="15" hidden="false" customHeight="true" outlineLevel="0" collapsed="false">
      <c r="A91" s="16"/>
      <c r="B91" s="9" t="s">
        <v>58</v>
      </c>
      <c r="C91" s="10" t="n">
        <v>90</v>
      </c>
      <c r="D91" s="10" t="n">
        <v>143</v>
      </c>
      <c r="E91" s="11" t="n">
        <f aca="false">C91*D91/100</f>
        <v>128.7</v>
      </c>
    </row>
    <row r="92" customFormat="false" ht="15" hidden="false" customHeight="true" outlineLevel="0" collapsed="false">
      <c r="A92" s="16"/>
      <c r="B92" s="9" t="s">
        <v>18</v>
      </c>
      <c r="C92" s="10" t="n">
        <v>10</v>
      </c>
      <c r="D92" s="10" t="n">
        <v>900</v>
      </c>
      <c r="E92" s="11" t="n">
        <f aca="false">C92*D92/100</f>
        <v>90</v>
      </c>
    </row>
    <row r="93" customFormat="false" ht="15" hidden="false" customHeight="true" outlineLevel="0" collapsed="false">
      <c r="A93" s="16"/>
      <c r="B93" s="9" t="s">
        <v>28</v>
      </c>
      <c r="C93" s="10" t="n">
        <v>60</v>
      </c>
      <c r="D93" s="10" t="n">
        <v>21</v>
      </c>
      <c r="E93" s="11" t="n">
        <f aca="false">C93*D93/100</f>
        <v>12.6</v>
      </c>
    </row>
    <row r="94" customFormat="false" ht="15" hidden="false" customHeight="true" outlineLevel="0" collapsed="false">
      <c r="A94" s="16"/>
      <c r="B94" s="9" t="s">
        <v>41</v>
      </c>
      <c r="C94" s="10" t="n">
        <v>100</v>
      </c>
      <c r="D94" s="10" t="n">
        <v>18</v>
      </c>
      <c r="E94" s="11" t="n">
        <f aca="false">C94*D94/100</f>
        <v>18</v>
      </c>
    </row>
    <row r="95" customFormat="false" ht="15" hidden="false" customHeight="true" outlineLevel="0" collapsed="false">
      <c r="A95" s="17"/>
      <c r="B95" s="17"/>
      <c r="C95" s="17"/>
      <c r="D95" s="18" t="s">
        <v>29</v>
      </c>
      <c r="E95" s="19" t="n">
        <f aca="false">SUM(E76:E94)</f>
        <v>1702.6</v>
      </c>
    </row>
    <row r="97" customFormat="false" ht="21.75" hidden="false" customHeight="true" outlineLevel="0" collapsed="false">
      <c r="A97" s="4" t="s">
        <v>59</v>
      </c>
      <c r="B97" s="4"/>
      <c r="C97" s="4"/>
      <c r="D97" s="4"/>
      <c r="E97" s="5" t="n">
        <f aca="false">E118</f>
        <v>1701.89</v>
      </c>
    </row>
    <row r="98" customFormat="false" ht="15" hidden="false" customHeight="true" outlineLevel="0" collapsed="false">
      <c r="A98" s="6" t="s">
        <v>3</v>
      </c>
      <c r="B98" s="7" t="s">
        <v>4</v>
      </c>
      <c r="C98" s="6" t="s">
        <v>5</v>
      </c>
      <c r="D98" s="6" t="s">
        <v>6</v>
      </c>
      <c r="E98" s="6" t="s">
        <v>7</v>
      </c>
    </row>
    <row r="99" customFormat="false" ht="15" hidden="false" customHeight="true" outlineLevel="0" collapsed="false">
      <c r="A99" s="8" t="s">
        <v>8</v>
      </c>
      <c r="B99" s="9" t="s">
        <v>31</v>
      </c>
      <c r="C99" s="10" t="n">
        <v>40</v>
      </c>
      <c r="D99" s="10" t="n">
        <v>408</v>
      </c>
      <c r="E99" s="11" t="n">
        <f aca="false">C99*D99/100</f>
        <v>163.2</v>
      </c>
    </row>
    <row r="100" customFormat="false" ht="15" hidden="false" customHeight="true" outlineLevel="0" collapsed="false">
      <c r="A100" s="8"/>
      <c r="B100" s="9" t="s">
        <v>32</v>
      </c>
      <c r="C100" s="10" t="n">
        <v>40</v>
      </c>
      <c r="D100" s="10" t="n">
        <v>130</v>
      </c>
      <c r="E100" s="11" t="n">
        <f aca="false">C100*D100/100</f>
        <v>52</v>
      </c>
    </row>
    <row r="101" customFormat="false" ht="15" hidden="false" customHeight="true" outlineLevel="0" collapsed="false">
      <c r="A101" s="8"/>
      <c r="B101" s="9" t="s">
        <v>21</v>
      </c>
      <c r="C101" s="10" t="n">
        <v>170</v>
      </c>
      <c r="D101" s="10" t="n">
        <v>73</v>
      </c>
      <c r="E101" s="11" t="n">
        <f aca="false">C101*D101/100</f>
        <v>124.1</v>
      </c>
    </row>
    <row r="102" customFormat="false" ht="15" hidden="false" customHeight="true" outlineLevel="0" collapsed="false">
      <c r="A102" s="8"/>
      <c r="B102" s="9" t="s">
        <v>12</v>
      </c>
      <c r="C102" s="10" t="n">
        <v>130</v>
      </c>
      <c r="D102" s="10" t="n">
        <v>39</v>
      </c>
      <c r="E102" s="11" t="n">
        <f aca="false">C102*D102/100</f>
        <v>50.7</v>
      </c>
    </row>
    <row r="103" customFormat="false" ht="15" hidden="false" customHeight="true" outlineLevel="0" collapsed="false">
      <c r="A103" s="12" t="s">
        <v>13</v>
      </c>
      <c r="B103" s="13" t="s">
        <v>60</v>
      </c>
      <c r="C103" s="14"/>
      <c r="D103" s="14"/>
      <c r="E103" s="14"/>
    </row>
    <row r="104" customFormat="false" ht="15" hidden="false" customHeight="true" outlineLevel="0" collapsed="false">
      <c r="A104" s="12"/>
      <c r="B104" s="9" t="s">
        <v>61</v>
      </c>
      <c r="C104" s="10" t="n">
        <v>128</v>
      </c>
      <c r="D104" s="10" t="n">
        <v>143</v>
      </c>
      <c r="E104" s="11" t="n">
        <f aca="false">C104*D104/100</f>
        <v>183.04</v>
      </c>
    </row>
    <row r="105" customFormat="false" ht="15" hidden="false" customHeight="true" outlineLevel="0" collapsed="false">
      <c r="A105" s="12"/>
      <c r="B105" s="9" t="s">
        <v>27</v>
      </c>
      <c r="C105" s="10" t="n">
        <v>20</v>
      </c>
      <c r="D105" s="10" t="n">
        <v>392</v>
      </c>
      <c r="E105" s="11" t="n">
        <f aca="false">C105*D105/100</f>
        <v>78.4</v>
      </c>
    </row>
    <row r="106" customFormat="false" ht="15" hidden="false" customHeight="true" outlineLevel="0" collapsed="false">
      <c r="A106" s="12"/>
      <c r="B106" s="9" t="s">
        <v>18</v>
      </c>
      <c r="C106" s="10" t="n">
        <v>8</v>
      </c>
      <c r="D106" s="10" t="n">
        <v>900</v>
      </c>
      <c r="E106" s="11" t="n">
        <f aca="false">C106*D106/100</f>
        <v>72</v>
      </c>
    </row>
    <row r="107" customFormat="false" ht="15" hidden="false" customHeight="true" outlineLevel="0" collapsed="false">
      <c r="A107" s="12"/>
      <c r="B107" s="9" t="s">
        <v>28</v>
      </c>
      <c r="C107" s="10" t="n">
        <v>60</v>
      </c>
      <c r="D107" s="10" t="n">
        <v>21</v>
      </c>
      <c r="E107" s="11" t="n">
        <f aca="false">C107*D107/100</f>
        <v>12.6</v>
      </c>
    </row>
    <row r="108" customFormat="false" ht="15" hidden="false" customHeight="true" outlineLevel="0" collapsed="false">
      <c r="A108" s="12"/>
      <c r="B108" s="9" t="s">
        <v>19</v>
      </c>
      <c r="C108" s="10" t="n">
        <v>100</v>
      </c>
      <c r="D108" s="10" t="n">
        <v>15</v>
      </c>
      <c r="E108" s="11" t="n">
        <f aca="false">C108*D108/100</f>
        <v>15</v>
      </c>
    </row>
    <row r="109" customFormat="false" ht="15" hidden="false" customHeight="true" outlineLevel="0" collapsed="false">
      <c r="A109" s="12"/>
      <c r="B109" s="9" t="s">
        <v>9</v>
      </c>
      <c r="C109" s="10" t="n">
        <v>70</v>
      </c>
      <c r="D109" s="10" t="n">
        <v>250</v>
      </c>
      <c r="E109" s="11" t="n">
        <f aca="false">C109*D109/100</f>
        <v>175</v>
      </c>
    </row>
    <row r="110" customFormat="false" ht="15" hidden="false" customHeight="true" outlineLevel="0" collapsed="false">
      <c r="A110" s="15" t="s">
        <v>20</v>
      </c>
      <c r="B110" s="9" t="s">
        <v>33</v>
      </c>
      <c r="C110" s="10" t="n">
        <v>120</v>
      </c>
      <c r="D110" s="10" t="n">
        <v>89</v>
      </c>
      <c r="E110" s="11" t="n">
        <f aca="false">C110*D110/100</f>
        <v>106.8</v>
      </c>
    </row>
    <row r="111" customFormat="false" ht="15" hidden="false" customHeight="true" outlineLevel="0" collapsed="false">
      <c r="A111" s="15"/>
      <c r="B111" s="9" t="s">
        <v>22</v>
      </c>
      <c r="C111" s="10" t="n">
        <v>15</v>
      </c>
      <c r="D111" s="10" t="n">
        <v>654</v>
      </c>
      <c r="E111" s="11" t="n">
        <f aca="false">C111*D111/100</f>
        <v>98.1</v>
      </c>
    </row>
    <row r="112" customFormat="false" ht="15" hidden="false" customHeight="true" outlineLevel="0" collapsed="false">
      <c r="A112" s="16" t="s">
        <v>23</v>
      </c>
      <c r="B112" s="13" t="s">
        <v>62</v>
      </c>
      <c r="C112" s="14"/>
      <c r="D112" s="14"/>
      <c r="E112" s="14"/>
    </row>
    <row r="113" customFormat="false" ht="15" hidden="false" customHeight="true" outlineLevel="0" collapsed="false">
      <c r="A113" s="16"/>
      <c r="B113" s="9" t="s">
        <v>25</v>
      </c>
      <c r="C113" s="10" t="n">
        <v>75</v>
      </c>
      <c r="D113" s="10" t="n">
        <v>353</v>
      </c>
      <c r="E113" s="11" t="n">
        <f aca="false">C113*D113/100</f>
        <v>264.75</v>
      </c>
    </row>
    <row r="114" customFormat="false" ht="15" hidden="false" customHeight="true" outlineLevel="0" collapsed="false">
      <c r="A114" s="16"/>
      <c r="B114" s="9" t="s">
        <v>54</v>
      </c>
      <c r="C114" s="10" t="n">
        <v>120</v>
      </c>
      <c r="D114" s="10" t="n">
        <v>140</v>
      </c>
      <c r="E114" s="11" t="n">
        <f aca="false">C114*D114/100</f>
        <v>168</v>
      </c>
    </row>
    <row r="115" customFormat="false" ht="15" hidden="false" customHeight="true" outlineLevel="0" collapsed="false">
      <c r="A115" s="16"/>
      <c r="B115" s="9" t="s">
        <v>26</v>
      </c>
      <c r="C115" s="10" t="n">
        <v>150</v>
      </c>
      <c r="D115" s="10" t="n">
        <v>18</v>
      </c>
      <c r="E115" s="11" t="n">
        <f aca="false">C115*D115/100</f>
        <v>27</v>
      </c>
    </row>
    <row r="116" customFormat="false" ht="15" hidden="false" customHeight="true" outlineLevel="0" collapsed="false">
      <c r="A116" s="16"/>
      <c r="B116" s="9" t="s">
        <v>18</v>
      </c>
      <c r="C116" s="10" t="n">
        <v>8</v>
      </c>
      <c r="D116" s="10" t="n">
        <v>900</v>
      </c>
      <c r="E116" s="11" t="n">
        <f aca="false">C116*D116/100</f>
        <v>72</v>
      </c>
    </row>
    <row r="117" customFormat="false" ht="15" hidden="false" customHeight="true" outlineLevel="0" collapsed="false">
      <c r="A117" s="16"/>
      <c r="B117" s="9" t="s">
        <v>27</v>
      </c>
      <c r="C117" s="10" t="n">
        <v>10</v>
      </c>
      <c r="D117" s="10" t="n">
        <v>392</v>
      </c>
      <c r="E117" s="11" t="n">
        <f aca="false">C117*D117/100</f>
        <v>39.2</v>
      </c>
    </row>
    <row r="118" customFormat="false" ht="15" hidden="false" customHeight="true" outlineLevel="0" collapsed="false">
      <c r="A118" s="17"/>
      <c r="B118" s="17"/>
      <c r="C118" s="17"/>
      <c r="D118" s="18" t="s">
        <v>29</v>
      </c>
      <c r="E118" s="19" t="n">
        <f aca="false">SUM(E99:E117)</f>
        <v>1701.89</v>
      </c>
    </row>
    <row r="120" customFormat="false" ht="21.75" hidden="false" customHeight="true" outlineLevel="0" collapsed="false">
      <c r="A120" s="4" t="s">
        <v>63</v>
      </c>
      <c r="B120" s="4"/>
      <c r="C120" s="4"/>
      <c r="D120" s="4"/>
      <c r="E120" s="5" t="n">
        <f aca="false">E140</f>
        <v>1703.26</v>
      </c>
    </row>
    <row r="121" customFormat="false" ht="15" hidden="false" customHeight="true" outlineLevel="0" collapsed="false">
      <c r="A121" s="6" t="s">
        <v>3</v>
      </c>
      <c r="B121" s="7" t="s">
        <v>4</v>
      </c>
      <c r="C121" s="6" t="s">
        <v>5</v>
      </c>
      <c r="D121" s="6" t="s">
        <v>6</v>
      </c>
      <c r="E121" s="6" t="s">
        <v>7</v>
      </c>
    </row>
    <row r="122" customFormat="false" ht="15" hidden="false" customHeight="true" outlineLevel="0" collapsed="false">
      <c r="A122" s="8" t="s">
        <v>8</v>
      </c>
      <c r="B122" s="9" t="s">
        <v>21</v>
      </c>
      <c r="C122" s="10" t="n">
        <v>170</v>
      </c>
      <c r="D122" s="10" t="n">
        <v>73</v>
      </c>
      <c r="E122" s="11" t="n">
        <f aca="false">C122*D122/100</f>
        <v>124.1</v>
      </c>
    </row>
    <row r="123" customFormat="false" ht="15" hidden="false" customHeight="true" outlineLevel="0" collapsed="false">
      <c r="A123" s="8"/>
      <c r="B123" s="9" t="s">
        <v>43</v>
      </c>
      <c r="C123" s="10" t="n">
        <v>50</v>
      </c>
      <c r="D123" s="10" t="n">
        <v>430</v>
      </c>
      <c r="E123" s="11" t="n">
        <f aca="false">C123*D123/100</f>
        <v>215</v>
      </c>
    </row>
    <row r="124" customFormat="false" ht="15" hidden="false" customHeight="true" outlineLevel="0" collapsed="false">
      <c r="A124" s="8"/>
      <c r="B124" s="9" t="s">
        <v>12</v>
      </c>
      <c r="C124" s="10" t="n">
        <v>130</v>
      </c>
      <c r="D124" s="10" t="n">
        <v>39</v>
      </c>
      <c r="E124" s="11" t="n">
        <f aca="false">C124*D124/100</f>
        <v>50.7</v>
      </c>
    </row>
    <row r="125" customFormat="false" ht="15" hidden="false" customHeight="true" outlineLevel="0" collapsed="false">
      <c r="A125" s="12" t="s">
        <v>13</v>
      </c>
      <c r="B125" s="13" t="s">
        <v>64</v>
      </c>
      <c r="C125" s="14"/>
      <c r="D125" s="14"/>
      <c r="E125" s="14"/>
    </row>
    <row r="126" customFormat="false" ht="15" hidden="false" customHeight="true" outlineLevel="0" collapsed="false">
      <c r="A126" s="12"/>
      <c r="B126" s="9" t="s">
        <v>40</v>
      </c>
      <c r="C126" s="10" t="n">
        <v>180</v>
      </c>
      <c r="D126" s="10" t="n">
        <v>108</v>
      </c>
      <c r="E126" s="11" t="n">
        <f aca="false">C126*D126/100</f>
        <v>194.4</v>
      </c>
    </row>
    <row r="127" customFormat="false" ht="15" hidden="false" customHeight="true" outlineLevel="0" collapsed="false">
      <c r="A127" s="12"/>
      <c r="B127" s="9" t="s">
        <v>36</v>
      </c>
      <c r="C127" s="10" t="n">
        <v>10</v>
      </c>
      <c r="D127" s="10" t="n">
        <v>340</v>
      </c>
      <c r="E127" s="11" t="n">
        <f aca="false">C127*D127/100</f>
        <v>34</v>
      </c>
    </row>
    <row r="128" customFormat="false" ht="15" hidden="false" customHeight="true" outlineLevel="0" collapsed="false">
      <c r="A128" s="12"/>
      <c r="B128" s="9" t="s">
        <v>18</v>
      </c>
      <c r="C128" s="10" t="n">
        <v>10</v>
      </c>
      <c r="D128" s="10" t="n">
        <v>900</v>
      </c>
      <c r="E128" s="11" t="n">
        <f aca="false">C128*D128/100</f>
        <v>90</v>
      </c>
    </row>
    <row r="129" customFormat="false" ht="15" hidden="false" customHeight="true" outlineLevel="0" collapsed="false">
      <c r="A129" s="12"/>
      <c r="B129" s="9" t="s">
        <v>28</v>
      </c>
      <c r="C129" s="10" t="n">
        <v>60</v>
      </c>
      <c r="D129" s="10" t="n">
        <v>21</v>
      </c>
      <c r="E129" s="11" t="n">
        <f aca="false">C129*D129/100</f>
        <v>12.6</v>
      </c>
    </row>
    <row r="130" customFormat="false" ht="15" hidden="false" customHeight="true" outlineLevel="0" collapsed="false">
      <c r="A130" s="12"/>
      <c r="B130" s="9" t="s">
        <v>41</v>
      </c>
      <c r="C130" s="10" t="n">
        <v>100</v>
      </c>
      <c r="D130" s="10" t="n">
        <v>18</v>
      </c>
      <c r="E130" s="11" t="n">
        <f aca="false">C130*D130/100</f>
        <v>18</v>
      </c>
    </row>
    <row r="131" customFormat="false" ht="15" hidden="false" customHeight="true" outlineLevel="0" collapsed="false">
      <c r="A131" s="12"/>
      <c r="B131" s="9" t="s">
        <v>9</v>
      </c>
      <c r="C131" s="10" t="n">
        <v>70</v>
      </c>
      <c r="D131" s="10" t="n">
        <v>250</v>
      </c>
      <c r="E131" s="11" t="n">
        <f aca="false">C131*D131/100</f>
        <v>175</v>
      </c>
    </row>
    <row r="132" customFormat="false" ht="15" hidden="false" customHeight="true" outlineLevel="0" collapsed="false">
      <c r="A132" s="15" t="s">
        <v>20</v>
      </c>
      <c r="B132" s="9" t="s">
        <v>37</v>
      </c>
      <c r="C132" s="10" t="n">
        <v>170</v>
      </c>
      <c r="D132" s="10" t="n">
        <v>98</v>
      </c>
      <c r="E132" s="11" t="n">
        <f aca="false">C132*D132/100</f>
        <v>166.6</v>
      </c>
    </row>
    <row r="133" customFormat="false" ht="15" hidden="false" customHeight="true" outlineLevel="0" collapsed="false">
      <c r="A133" s="15"/>
      <c r="B133" s="9" t="s">
        <v>22</v>
      </c>
      <c r="C133" s="10" t="n">
        <v>14</v>
      </c>
      <c r="D133" s="10" t="n">
        <v>654</v>
      </c>
      <c r="E133" s="11" t="n">
        <f aca="false">C133*D133/100</f>
        <v>91.56</v>
      </c>
    </row>
    <row r="134" customFormat="false" ht="15" hidden="false" customHeight="true" outlineLevel="0" collapsed="false">
      <c r="A134" s="16" t="s">
        <v>23</v>
      </c>
      <c r="B134" s="13" t="s">
        <v>65</v>
      </c>
      <c r="C134" s="14"/>
      <c r="D134" s="14"/>
      <c r="E134" s="14"/>
    </row>
    <row r="135" customFormat="false" ht="15" hidden="false" customHeight="true" outlineLevel="0" collapsed="false">
      <c r="A135" s="16"/>
      <c r="B135" s="9" t="s">
        <v>66</v>
      </c>
      <c r="C135" s="10" t="n">
        <v>220</v>
      </c>
      <c r="D135" s="10" t="n">
        <v>160</v>
      </c>
      <c r="E135" s="11" t="n">
        <f aca="false">C135*D135/100</f>
        <v>352</v>
      </c>
    </row>
    <row r="136" customFormat="false" ht="15" hidden="false" customHeight="true" outlineLevel="0" collapsed="false">
      <c r="A136" s="16"/>
      <c r="B136" s="9" t="s">
        <v>26</v>
      </c>
      <c r="C136" s="10" t="n">
        <v>120</v>
      </c>
      <c r="D136" s="10" t="n">
        <v>18</v>
      </c>
      <c r="E136" s="11" t="n">
        <f aca="false">C136*D136/100</f>
        <v>21.6</v>
      </c>
    </row>
    <row r="137" customFormat="false" ht="15" hidden="false" customHeight="true" outlineLevel="0" collapsed="false">
      <c r="A137" s="16"/>
      <c r="B137" s="9" t="s">
        <v>56</v>
      </c>
      <c r="C137" s="10" t="n">
        <v>60</v>
      </c>
      <c r="D137" s="10" t="n">
        <v>180</v>
      </c>
      <c r="E137" s="11" t="n">
        <f aca="false">C137*D137/100</f>
        <v>108</v>
      </c>
    </row>
    <row r="138" customFormat="false" ht="15" hidden="false" customHeight="true" outlineLevel="0" collapsed="false">
      <c r="A138" s="16"/>
      <c r="B138" s="9" t="s">
        <v>27</v>
      </c>
      <c r="C138" s="10" t="n">
        <v>10</v>
      </c>
      <c r="D138" s="10" t="n">
        <v>392</v>
      </c>
      <c r="E138" s="11" t="n">
        <f aca="false">C138*D138/100</f>
        <v>39.2</v>
      </c>
    </row>
    <row r="139" customFormat="false" ht="15" hidden="false" customHeight="true" outlineLevel="0" collapsed="false">
      <c r="A139" s="16"/>
      <c r="B139" s="9" t="s">
        <v>28</v>
      </c>
      <c r="C139" s="10" t="n">
        <v>50</v>
      </c>
      <c r="D139" s="10" t="n">
        <v>21</v>
      </c>
      <c r="E139" s="11" t="n">
        <f aca="false">C139*D139/100</f>
        <v>10.5</v>
      </c>
    </row>
    <row r="140" customFormat="false" ht="15" hidden="false" customHeight="true" outlineLevel="0" collapsed="false">
      <c r="A140" s="17"/>
      <c r="B140" s="17"/>
      <c r="C140" s="17"/>
      <c r="D140" s="18" t="s">
        <v>29</v>
      </c>
      <c r="E140" s="19" t="n">
        <f aca="false">SUM(E122:E139)</f>
        <v>1703.26</v>
      </c>
    </row>
    <row r="142" customFormat="false" ht="21.75" hidden="false" customHeight="true" outlineLevel="0" collapsed="false">
      <c r="A142" s="4" t="s">
        <v>67</v>
      </c>
      <c r="B142" s="4"/>
      <c r="C142" s="4"/>
      <c r="D142" s="4"/>
      <c r="E142" s="5" t="n">
        <f aca="false">E163</f>
        <v>1704.15</v>
      </c>
    </row>
    <row r="143" customFormat="false" ht="15" hidden="false" customHeight="true" outlineLevel="0" collapsed="false">
      <c r="A143" s="6" t="s">
        <v>3</v>
      </c>
      <c r="B143" s="7" t="s">
        <v>4</v>
      </c>
      <c r="C143" s="6" t="s">
        <v>5</v>
      </c>
      <c r="D143" s="6" t="s">
        <v>6</v>
      </c>
      <c r="E143" s="6" t="s">
        <v>7</v>
      </c>
    </row>
    <row r="144" customFormat="false" ht="15" hidden="false" customHeight="true" outlineLevel="0" collapsed="false">
      <c r="A144" s="8" t="s">
        <v>8</v>
      </c>
      <c r="B144" s="9" t="s">
        <v>9</v>
      </c>
      <c r="C144" s="10" t="n">
        <v>70</v>
      </c>
      <c r="D144" s="10" t="n">
        <v>250</v>
      </c>
      <c r="E144" s="11" t="n">
        <f aca="false">C144*D144/100</f>
        <v>175</v>
      </c>
    </row>
    <row r="145" customFormat="false" ht="15" hidden="false" customHeight="true" outlineLevel="0" collapsed="false">
      <c r="A145" s="8"/>
      <c r="B145" s="9" t="s">
        <v>10</v>
      </c>
      <c r="C145" s="10" t="n">
        <v>50</v>
      </c>
      <c r="D145" s="10" t="n">
        <v>151</v>
      </c>
      <c r="E145" s="11" t="n">
        <f aca="false">C145*D145/100</f>
        <v>75.5</v>
      </c>
    </row>
    <row r="146" customFormat="false" ht="15" hidden="false" customHeight="true" outlineLevel="0" collapsed="false">
      <c r="A146" s="8"/>
      <c r="B146" s="9" t="s">
        <v>11</v>
      </c>
      <c r="C146" s="10" t="n">
        <v>25</v>
      </c>
      <c r="D146" s="10" t="n">
        <v>392</v>
      </c>
      <c r="E146" s="11" t="n">
        <f aca="false">C146*D146/100</f>
        <v>98</v>
      </c>
    </row>
    <row r="147" customFormat="false" ht="15" hidden="false" customHeight="true" outlineLevel="0" collapsed="false">
      <c r="A147" s="8"/>
      <c r="B147" s="9" t="s">
        <v>33</v>
      </c>
      <c r="C147" s="10" t="n">
        <v>100</v>
      </c>
      <c r="D147" s="10" t="n">
        <v>89</v>
      </c>
      <c r="E147" s="11" t="n">
        <f aca="false">C147*D147/100</f>
        <v>89</v>
      </c>
    </row>
    <row r="148" customFormat="false" ht="15" hidden="false" customHeight="true" outlineLevel="0" collapsed="false">
      <c r="A148" s="12" t="s">
        <v>13</v>
      </c>
      <c r="B148" s="13" t="s">
        <v>68</v>
      </c>
      <c r="C148" s="14"/>
      <c r="D148" s="14"/>
      <c r="E148" s="14"/>
    </row>
    <row r="149" customFormat="false" ht="15" hidden="false" customHeight="true" outlineLevel="0" collapsed="false">
      <c r="A149" s="12"/>
      <c r="B149" s="9" t="s">
        <v>54</v>
      </c>
      <c r="C149" s="10" t="n">
        <v>150</v>
      </c>
      <c r="D149" s="10" t="n">
        <v>140</v>
      </c>
      <c r="E149" s="11" t="n">
        <f aca="false">C149*D149/100</f>
        <v>210</v>
      </c>
    </row>
    <row r="150" customFormat="false" ht="15" hidden="false" customHeight="true" outlineLevel="0" collapsed="false">
      <c r="A150" s="12"/>
      <c r="B150" s="9" t="s">
        <v>18</v>
      </c>
      <c r="C150" s="10" t="n">
        <v>8</v>
      </c>
      <c r="D150" s="10" t="n">
        <v>900</v>
      </c>
      <c r="E150" s="11" t="n">
        <f aca="false">C150*D150/100</f>
        <v>72</v>
      </c>
    </row>
    <row r="151" customFormat="false" ht="15" hidden="false" customHeight="true" outlineLevel="0" collapsed="false">
      <c r="A151" s="12"/>
      <c r="B151" s="9" t="s">
        <v>28</v>
      </c>
      <c r="C151" s="10" t="n">
        <v>60</v>
      </c>
      <c r="D151" s="10" t="n">
        <v>21</v>
      </c>
      <c r="E151" s="11" t="n">
        <f aca="false">C151*D151/100</f>
        <v>12.6</v>
      </c>
    </row>
    <row r="152" customFormat="false" ht="15" hidden="false" customHeight="true" outlineLevel="0" collapsed="false">
      <c r="A152" s="12"/>
      <c r="B152" s="9" t="s">
        <v>41</v>
      </c>
      <c r="C152" s="10" t="n">
        <v>100</v>
      </c>
      <c r="D152" s="10" t="n">
        <v>18</v>
      </c>
      <c r="E152" s="11" t="n">
        <f aca="false">C152*D152/100</f>
        <v>18</v>
      </c>
    </row>
    <row r="153" customFormat="false" ht="15" hidden="false" customHeight="true" outlineLevel="0" collapsed="false">
      <c r="A153" s="12"/>
      <c r="B153" s="9" t="s">
        <v>9</v>
      </c>
      <c r="C153" s="10" t="n">
        <v>70</v>
      </c>
      <c r="D153" s="10" t="n">
        <v>250</v>
      </c>
      <c r="E153" s="11" t="n">
        <f aca="false">C153*D153/100</f>
        <v>175</v>
      </c>
    </row>
    <row r="154" customFormat="false" ht="15" hidden="false" customHeight="true" outlineLevel="0" collapsed="false">
      <c r="A154" s="15" t="s">
        <v>20</v>
      </c>
      <c r="B154" s="9" t="s">
        <v>21</v>
      </c>
      <c r="C154" s="10" t="n">
        <v>170</v>
      </c>
      <c r="D154" s="10" t="n">
        <v>73</v>
      </c>
      <c r="E154" s="11" t="n">
        <f aca="false">C154*D154/100</f>
        <v>124.1</v>
      </c>
    </row>
    <row r="155" customFormat="false" ht="15" hidden="false" customHeight="true" outlineLevel="0" collapsed="false">
      <c r="A155" s="15"/>
      <c r="B155" s="9" t="s">
        <v>51</v>
      </c>
      <c r="C155" s="10" t="n">
        <v>250</v>
      </c>
      <c r="D155" s="10" t="n">
        <v>30</v>
      </c>
      <c r="E155" s="11" t="n">
        <f aca="false">C155*D155/100</f>
        <v>75</v>
      </c>
    </row>
    <row r="156" customFormat="false" ht="15" hidden="false" customHeight="true" outlineLevel="0" collapsed="false">
      <c r="A156" s="16" t="s">
        <v>23</v>
      </c>
      <c r="B156" s="13" t="s">
        <v>69</v>
      </c>
      <c r="C156" s="14"/>
      <c r="D156" s="14"/>
      <c r="E156" s="14"/>
    </row>
    <row r="157" customFormat="false" ht="15" hidden="false" customHeight="true" outlineLevel="0" collapsed="false">
      <c r="A157" s="16"/>
      <c r="B157" s="9" t="s">
        <v>39</v>
      </c>
      <c r="C157" s="10" t="n">
        <v>70</v>
      </c>
      <c r="D157" s="10" t="n">
        <v>350</v>
      </c>
      <c r="E157" s="11" t="n">
        <f aca="false">C157*D157/100</f>
        <v>245</v>
      </c>
    </row>
    <row r="158" customFormat="false" ht="15" hidden="false" customHeight="true" outlineLevel="0" collapsed="false">
      <c r="A158" s="16"/>
      <c r="B158" s="9" t="s">
        <v>54</v>
      </c>
      <c r="C158" s="10" t="n">
        <v>115</v>
      </c>
      <c r="D158" s="10" t="n">
        <v>140</v>
      </c>
      <c r="E158" s="11" t="n">
        <f aca="false">C158*D158/100</f>
        <v>161</v>
      </c>
    </row>
    <row r="159" customFormat="false" ht="15" hidden="false" customHeight="true" outlineLevel="0" collapsed="false">
      <c r="A159" s="16"/>
      <c r="B159" s="9" t="s">
        <v>70</v>
      </c>
      <c r="C159" s="10" t="n">
        <v>25</v>
      </c>
      <c r="D159" s="10" t="n">
        <v>143</v>
      </c>
      <c r="E159" s="11" t="n">
        <f aca="false">C159*D159/100</f>
        <v>35.75</v>
      </c>
    </row>
    <row r="160" customFormat="false" ht="15" hidden="false" customHeight="true" outlineLevel="0" collapsed="false">
      <c r="A160" s="16"/>
      <c r="B160" s="9" t="s">
        <v>26</v>
      </c>
      <c r="C160" s="10" t="n">
        <v>150</v>
      </c>
      <c r="D160" s="10" t="n">
        <v>18</v>
      </c>
      <c r="E160" s="11" t="n">
        <f aca="false">C160*D160/100</f>
        <v>27</v>
      </c>
    </row>
    <row r="161" customFormat="false" ht="15" hidden="false" customHeight="true" outlineLevel="0" collapsed="false">
      <c r="A161" s="16"/>
      <c r="B161" s="9" t="s">
        <v>18</v>
      </c>
      <c r="C161" s="10" t="n">
        <v>8</v>
      </c>
      <c r="D161" s="10" t="n">
        <v>900</v>
      </c>
      <c r="E161" s="11" t="n">
        <f aca="false">C161*D161/100</f>
        <v>72</v>
      </c>
    </row>
    <row r="162" customFormat="false" ht="15" hidden="false" customHeight="true" outlineLevel="0" collapsed="false">
      <c r="A162" s="16"/>
      <c r="B162" s="9" t="s">
        <v>27</v>
      </c>
      <c r="C162" s="10" t="n">
        <v>10</v>
      </c>
      <c r="D162" s="10" t="n">
        <v>392</v>
      </c>
      <c r="E162" s="11" t="n">
        <f aca="false">C162*D162/100</f>
        <v>39.2</v>
      </c>
    </row>
    <row r="163" customFormat="false" ht="15" hidden="false" customHeight="true" outlineLevel="0" collapsed="false">
      <c r="A163" s="17"/>
      <c r="B163" s="17"/>
      <c r="C163" s="17"/>
      <c r="D163" s="18" t="s">
        <v>29</v>
      </c>
      <c r="E163" s="19" t="n">
        <f aca="false">SUM(E144:E162)</f>
        <v>1704.15</v>
      </c>
    </row>
    <row r="165" customFormat="false" ht="15" hidden="false" customHeight="true" outlineLevel="0" collapsed="false">
      <c r="A165" s="20" t="s">
        <v>71</v>
      </c>
      <c r="B165" s="20"/>
      <c r="C165" s="20"/>
      <c r="D165" s="20"/>
      <c r="E165" s="20"/>
    </row>
    <row r="166" customFormat="false" ht="43.5" hidden="false" customHeight="true" outlineLevel="0" collapsed="false">
      <c r="A166" s="21" t="s">
        <v>72</v>
      </c>
      <c r="B166" s="21"/>
      <c r="C166" s="21"/>
      <c r="D166" s="21"/>
      <c r="E166" s="21"/>
    </row>
    <row r="168" customFormat="false" ht="15" hidden="false" customHeight="true" outlineLevel="0" collapsed="false">
      <c r="A168" s="20" t="s">
        <v>73</v>
      </c>
      <c r="B168" s="20"/>
      <c r="C168" s="20"/>
      <c r="D168" s="20"/>
      <c r="E168" s="20"/>
    </row>
    <row r="169" customFormat="false" ht="57.75" hidden="false" customHeight="true" outlineLevel="0" collapsed="false">
      <c r="A169" s="21" t="s">
        <v>74</v>
      </c>
      <c r="B169" s="21"/>
      <c r="C169" s="21"/>
      <c r="D169" s="21"/>
      <c r="E169" s="21"/>
    </row>
  </sheetData>
  <mergeCells count="41">
    <mergeCell ref="A1:E1"/>
    <mergeCell ref="A2:E2"/>
    <mergeCell ref="A4:D4"/>
    <mergeCell ref="A6:A9"/>
    <mergeCell ref="A10:A16"/>
    <mergeCell ref="A17:A18"/>
    <mergeCell ref="A19:A24"/>
    <mergeCell ref="A27:D27"/>
    <mergeCell ref="A29:A32"/>
    <mergeCell ref="A33:A39"/>
    <mergeCell ref="A40:A41"/>
    <mergeCell ref="A42:A47"/>
    <mergeCell ref="A50:D50"/>
    <mergeCell ref="A52:A54"/>
    <mergeCell ref="A55:A63"/>
    <mergeCell ref="A64:A66"/>
    <mergeCell ref="A67:A71"/>
    <mergeCell ref="A74:D74"/>
    <mergeCell ref="A76:A79"/>
    <mergeCell ref="A80:A86"/>
    <mergeCell ref="A87:A88"/>
    <mergeCell ref="A89:A94"/>
    <mergeCell ref="A97:D97"/>
    <mergeCell ref="A99:A102"/>
    <mergeCell ref="A103:A109"/>
    <mergeCell ref="A110:A111"/>
    <mergeCell ref="A112:A117"/>
    <mergeCell ref="A120:D120"/>
    <mergeCell ref="A122:A124"/>
    <mergeCell ref="A125:A131"/>
    <mergeCell ref="A132:A133"/>
    <mergeCell ref="A134:A139"/>
    <mergeCell ref="A142:D142"/>
    <mergeCell ref="A144:A147"/>
    <mergeCell ref="A148:A153"/>
    <mergeCell ref="A154:A155"/>
    <mergeCell ref="A156:A162"/>
    <mergeCell ref="A165:E165"/>
    <mergeCell ref="A166:E166"/>
    <mergeCell ref="A168:E168"/>
    <mergeCell ref="A169:E1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37.99"/>
    <col collapsed="false" customWidth="true" hidden="false" outlineLevel="0" max="2" min="2" style="1" width="14.01"/>
    <col collapsed="false" customWidth="true" hidden="false" outlineLevel="0" max="3" min="3" style="1" width="95.99"/>
  </cols>
  <sheetData>
    <row r="1" customFormat="false" ht="24" hidden="false" customHeight="true" outlineLevel="0" collapsed="false">
      <c r="A1" s="22" t="s">
        <v>75</v>
      </c>
      <c r="B1" s="22"/>
      <c r="C1" s="22"/>
    </row>
    <row r="3" customFormat="false" ht="15" hidden="false" customHeight="true" outlineLevel="0" collapsed="false">
      <c r="A3" s="7" t="s">
        <v>76</v>
      </c>
      <c r="B3" s="6" t="s">
        <v>77</v>
      </c>
      <c r="C3" s="7" t="s">
        <v>78</v>
      </c>
    </row>
    <row r="4" customFormat="false" ht="43.5" hidden="false" customHeight="true" outlineLevel="0" collapsed="false">
      <c r="A4" s="23" t="s">
        <v>79</v>
      </c>
      <c r="B4" s="10" t="s">
        <v>80</v>
      </c>
      <c r="C4" s="21" t="s">
        <v>81</v>
      </c>
    </row>
    <row r="5" customFormat="false" ht="43.5" hidden="false" customHeight="true" outlineLevel="0" collapsed="false">
      <c r="A5" s="23" t="s">
        <v>82</v>
      </c>
      <c r="B5" s="10" t="s">
        <v>83</v>
      </c>
      <c r="C5" s="21" t="s">
        <v>84</v>
      </c>
    </row>
    <row r="6" customFormat="false" ht="43.5" hidden="false" customHeight="true" outlineLevel="0" collapsed="false">
      <c r="A6" s="23" t="s">
        <v>85</v>
      </c>
      <c r="B6" s="10" t="s">
        <v>86</v>
      </c>
      <c r="C6" s="21" t="s">
        <v>87</v>
      </c>
    </row>
    <row r="7" customFormat="false" ht="43.5" hidden="false" customHeight="true" outlineLevel="0" collapsed="false">
      <c r="A7" s="23" t="s">
        <v>88</v>
      </c>
      <c r="B7" s="10" t="s">
        <v>89</v>
      </c>
      <c r="C7" s="21" t="s">
        <v>90</v>
      </c>
    </row>
    <row r="8" customFormat="false" ht="43.5" hidden="false" customHeight="true" outlineLevel="0" collapsed="false">
      <c r="A8" s="23" t="s">
        <v>91</v>
      </c>
      <c r="B8" s="10" t="s">
        <v>92</v>
      </c>
      <c r="C8" s="21" t="s">
        <v>93</v>
      </c>
    </row>
    <row r="9" customFormat="false" ht="43.5" hidden="false" customHeight="true" outlineLevel="0" collapsed="false">
      <c r="A9" s="23" t="s">
        <v>94</v>
      </c>
      <c r="B9" s="10" t="s">
        <v>95</v>
      </c>
      <c r="C9" s="21" t="s">
        <v>96</v>
      </c>
    </row>
    <row r="10" customFormat="false" ht="43.5" hidden="false" customHeight="true" outlineLevel="0" collapsed="false">
      <c r="A10" s="23" t="s">
        <v>97</v>
      </c>
      <c r="B10" s="10" t="s">
        <v>98</v>
      </c>
      <c r="C10" s="21" t="s">
        <v>99</v>
      </c>
    </row>
    <row r="11" customFormat="false" ht="43.5" hidden="false" customHeight="true" outlineLevel="0" collapsed="false">
      <c r="A11" s="23" t="s">
        <v>100</v>
      </c>
      <c r="B11" s="10" t="s">
        <v>101</v>
      </c>
      <c r="C11" s="21" t="s">
        <v>102</v>
      </c>
    </row>
    <row r="12" customFormat="false" ht="43.5" hidden="false" customHeight="true" outlineLevel="0" collapsed="false">
      <c r="A12" s="23" t="s">
        <v>103</v>
      </c>
      <c r="B12" s="10" t="s">
        <v>104</v>
      </c>
      <c r="C12" s="21" t="s">
        <v>105</v>
      </c>
    </row>
    <row r="13" customFormat="false" ht="43.5" hidden="false" customHeight="true" outlineLevel="0" collapsed="false">
      <c r="A13" s="23" t="s">
        <v>106</v>
      </c>
      <c r="B13" s="10" t="s">
        <v>107</v>
      </c>
      <c r="C13" s="21" t="s">
        <v>108</v>
      </c>
    </row>
    <row r="14" customFormat="false" ht="43.5" hidden="false" customHeight="true" outlineLevel="0" collapsed="false">
      <c r="A14" s="23" t="s">
        <v>109</v>
      </c>
      <c r="B14" s="10" t="s">
        <v>110</v>
      </c>
      <c r="C14" s="21" t="s">
        <v>111</v>
      </c>
    </row>
    <row r="15" customFormat="false" ht="43.5" hidden="false" customHeight="true" outlineLevel="0" collapsed="false">
      <c r="A15" s="23" t="s">
        <v>112</v>
      </c>
      <c r="B15" s="10" t="s">
        <v>113</v>
      </c>
      <c r="C15" s="21" t="s">
        <v>114</v>
      </c>
    </row>
    <row r="16" customFormat="false" ht="43.5" hidden="false" customHeight="true" outlineLevel="0" collapsed="false">
      <c r="A16" s="23" t="s">
        <v>115</v>
      </c>
      <c r="B16" s="10" t="s">
        <v>116</v>
      </c>
      <c r="C16" s="21" t="s">
        <v>117</v>
      </c>
    </row>
    <row r="17" customFormat="false" ht="43.5" hidden="false" customHeight="true" outlineLevel="0" collapsed="false">
      <c r="A17" s="23" t="s">
        <v>118</v>
      </c>
      <c r="B17" s="10" t="s">
        <v>119</v>
      </c>
      <c r="C17" s="21" t="s">
        <v>120</v>
      </c>
    </row>
    <row r="18" customFormat="false" ht="109.5" hidden="false" customHeight="true" outlineLevel="0" collapsed="false">
      <c r="A18" s="24" t="s">
        <v>121</v>
      </c>
      <c r="B18" s="25"/>
      <c r="C18" s="26" t="s">
        <v>122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3.01"/>
    <col collapsed="false" customWidth="true" hidden="false" outlineLevel="0" max="2" min="2" style="0" width="56.01"/>
    <col collapsed="false" customWidth="true" hidden="false" outlineLevel="0" max="3" min="3" style="0" width="9"/>
  </cols>
  <sheetData>
    <row r="1" customFormat="false" ht="25.5" hidden="false" customHeight="true" outlineLevel="0" collapsed="false">
      <c r="A1" s="27" t="s">
        <v>123</v>
      </c>
      <c r="B1" s="27"/>
      <c r="C1" s="27"/>
    </row>
    <row r="2" customFormat="false" ht="15.75" hidden="false" customHeight="true" outlineLevel="0" collapsed="false">
      <c r="A2" s="3" t="s">
        <v>124</v>
      </c>
      <c r="B2" s="3"/>
      <c r="C2" s="3"/>
    </row>
    <row r="4" customFormat="false" ht="19.5" hidden="false" customHeight="true" outlineLevel="0" collapsed="false">
      <c r="A4" s="28" t="s">
        <v>125</v>
      </c>
      <c r="B4" s="28"/>
      <c r="C4" s="28"/>
    </row>
    <row r="5" customFormat="false" ht="15" hidden="false" customHeight="false" outlineLevel="0" collapsed="false">
      <c r="A5" s="29" t="s">
        <v>126</v>
      </c>
      <c r="B5" s="29"/>
      <c r="C5" s="30" t="n">
        <f aca="false">SUM(C6:C10)</f>
        <v>1570</v>
      </c>
    </row>
    <row r="6" customFormat="false" ht="15" hidden="false" customHeight="false" outlineLevel="0" collapsed="false">
      <c r="A6" s="31" t="s">
        <v>8</v>
      </c>
      <c r="B6" s="9" t="s">
        <v>127</v>
      </c>
      <c r="C6" s="11" t="n">
        <v>330</v>
      </c>
    </row>
    <row r="7" customFormat="false" ht="15" hidden="false" customHeight="false" outlineLevel="0" collapsed="false">
      <c r="A7" s="32" t="s">
        <v>13</v>
      </c>
      <c r="B7" s="9" t="s">
        <v>128</v>
      </c>
      <c r="C7" s="11" t="n">
        <v>435</v>
      </c>
    </row>
    <row r="8" customFormat="false" ht="15" hidden="false" customHeight="false" outlineLevel="0" collapsed="false">
      <c r="A8" s="20" t="s">
        <v>20</v>
      </c>
      <c r="B8" s="9" t="s">
        <v>129</v>
      </c>
      <c r="C8" s="11" t="n">
        <v>185</v>
      </c>
    </row>
    <row r="9" customFormat="false" ht="15" hidden="false" customHeight="false" outlineLevel="0" collapsed="false">
      <c r="A9" s="33" t="s">
        <v>23</v>
      </c>
      <c r="B9" s="9" t="s">
        <v>130</v>
      </c>
      <c r="C9" s="11" t="n">
        <v>430</v>
      </c>
    </row>
    <row r="10" customFormat="false" ht="15" hidden="false" customHeight="false" outlineLevel="0" collapsed="false">
      <c r="A10" s="34" t="s">
        <v>131</v>
      </c>
      <c r="B10" s="9" t="s">
        <v>132</v>
      </c>
      <c r="C10" s="11" t="n">
        <v>190</v>
      </c>
    </row>
    <row r="12" customFormat="false" ht="15" hidden="false" customHeight="false" outlineLevel="0" collapsed="false">
      <c r="A12" s="29" t="s">
        <v>133</v>
      </c>
      <c r="B12" s="29"/>
      <c r="C12" s="30" t="n">
        <f aca="false">SUM(C13:C17)</f>
        <v>1485</v>
      </c>
    </row>
    <row r="13" customFormat="false" ht="15" hidden="false" customHeight="false" outlineLevel="0" collapsed="false">
      <c r="A13" s="31" t="s">
        <v>8</v>
      </c>
      <c r="B13" s="9" t="s">
        <v>134</v>
      </c>
      <c r="C13" s="11" t="n">
        <v>335</v>
      </c>
    </row>
    <row r="14" customFormat="false" ht="15" hidden="false" customHeight="false" outlineLevel="0" collapsed="false">
      <c r="A14" s="32" t="s">
        <v>13</v>
      </c>
      <c r="B14" s="9" t="s">
        <v>135</v>
      </c>
      <c r="C14" s="11" t="n">
        <v>400</v>
      </c>
    </row>
    <row r="15" customFormat="false" ht="15" hidden="false" customHeight="false" outlineLevel="0" collapsed="false">
      <c r="A15" s="20" t="s">
        <v>20</v>
      </c>
      <c r="B15" s="9" t="s">
        <v>136</v>
      </c>
      <c r="C15" s="11" t="n">
        <v>135</v>
      </c>
    </row>
    <row r="16" customFormat="false" ht="15" hidden="false" customHeight="false" outlineLevel="0" collapsed="false">
      <c r="A16" s="33" t="s">
        <v>23</v>
      </c>
      <c r="B16" s="9" t="s">
        <v>137</v>
      </c>
      <c r="C16" s="11" t="n">
        <v>435</v>
      </c>
    </row>
    <row r="17" customFormat="false" ht="15" hidden="false" customHeight="false" outlineLevel="0" collapsed="false">
      <c r="A17" s="34" t="s">
        <v>131</v>
      </c>
      <c r="B17" s="9" t="s">
        <v>138</v>
      </c>
      <c r="C17" s="11" t="n">
        <v>180</v>
      </c>
    </row>
    <row r="19" customFormat="false" ht="15" hidden="false" customHeight="false" outlineLevel="0" collapsed="false">
      <c r="A19" s="29" t="s">
        <v>139</v>
      </c>
      <c r="B19" s="29"/>
      <c r="C19" s="30" t="n">
        <f aca="false">SUM(C20:C24)</f>
        <v>1575</v>
      </c>
    </row>
    <row r="20" customFormat="false" ht="15" hidden="false" customHeight="false" outlineLevel="0" collapsed="false">
      <c r="A20" s="31" t="s">
        <v>8</v>
      </c>
      <c r="B20" s="9" t="s">
        <v>140</v>
      </c>
      <c r="C20" s="11" t="n">
        <v>330</v>
      </c>
    </row>
    <row r="21" customFormat="false" ht="15" hidden="false" customHeight="false" outlineLevel="0" collapsed="false">
      <c r="A21" s="32" t="s">
        <v>13</v>
      </c>
      <c r="B21" s="9" t="s">
        <v>141</v>
      </c>
      <c r="C21" s="11" t="n">
        <v>435</v>
      </c>
    </row>
    <row r="22" customFormat="false" ht="15" hidden="false" customHeight="false" outlineLevel="0" collapsed="false">
      <c r="A22" s="20" t="s">
        <v>20</v>
      </c>
      <c r="B22" s="9" t="s">
        <v>132</v>
      </c>
      <c r="C22" s="11" t="n">
        <v>190</v>
      </c>
    </row>
    <row r="23" customFormat="false" ht="15" hidden="false" customHeight="false" outlineLevel="0" collapsed="false">
      <c r="A23" s="33" t="s">
        <v>23</v>
      </c>
      <c r="B23" s="9" t="s">
        <v>142</v>
      </c>
      <c r="C23" s="11" t="n">
        <v>435</v>
      </c>
    </row>
    <row r="24" customFormat="false" ht="15" hidden="false" customHeight="false" outlineLevel="0" collapsed="false">
      <c r="A24" s="34" t="s">
        <v>131</v>
      </c>
      <c r="B24" s="9" t="s">
        <v>129</v>
      </c>
      <c r="C24" s="11" t="n">
        <v>185</v>
      </c>
    </row>
    <row r="26" customFormat="false" ht="15" hidden="false" customHeight="false" outlineLevel="0" collapsed="false">
      <c r="A26" s="29" t="s">
        <v>143</v>
      </c>
      <c r="B26" s="29"/>
      <c r="C26" s="30" t="n">
        <f aca="false">SUM(C27:C31)</f>
        <v>1515</v>
      </c>
    </row>
    <row r="27" customFormat="false" ht="15" hidden="false" customHeight="false" outlineLevel="0" collapsed="false">
      <c r="A27" s="31" t="s">
        <v>8</v>
      </c>
      <c r="B27" s="9" t="s">
        <v>144</v>
      </c>
      <c r="C27" s="11" t="n">
        <v>330</v>
      </c>
    </row>
    <row r="28" customFormat="false" ht="15" hidden="false" customHeight="false" outlineLevel="0" collapsed="false">
      <c r="A28" s="32" t="s">
        <v>13</v>
      </c>
      <c r="B28" s="9" t="s">
        <v>145</v>
      </c>
      <c r="C28" s="11" t="n">
        <v>435</v>
      </c>
    </row>
    <row r="29" customFormat="false" ht="15" hidden="false" customHeight="false" outlineLevel="0" collapsed="false">
      <c r="A29" s="20" t="s">
        <v>20</v>
      </c>
      <c r="B29" s="9" t="s">
        <v>138</v>
      </c>
      <c r="C29" s="11" t="n">
        <v>180</v>
      </c>
    </row>
    <row r="30" customFormat="false" ht="15" hidden="false" customHeight="false" outlineLevel="0" collapsed="false">
      <c r="A30" s="33" t="s">
        <v>23</v>
      </c>
      <c r="B30" s="9" t="s">
        <v>146</v>
      </c>
      <c r="C30" s="11" t="n">
        <v>435</v>
      </c>
    </row>
    <row r="31" customFormat="false" ht="15" hidden="false" customHeight="false" outlineLevel="0" collapsed="false">
      <c r="A31" s="34" t="s">
        <v>131</v>
      </c>
      <c r="B31" s="9" t="s">
        <v>136</v>
      </c>
      <c r="C31" s="11" t="n">
        <v>135</v>
      </c>
    </row>
    <row r="33" customFormat="false" ht="15" hidden="false" customHeight="false" outlineLevel="0" collapsed="false">
      <c r="A33" s="29" t="s">
        <v>147</v>
      </c>
      <c r="B33" s="29"/>
      <c r="C33" s="30" t="n">
        <f aca="false">SUM(C34:C38)</f>
        <v>1600</v>
      </c>
    </row>
    <row r="34" customFormat="false" ht="15" hidden="false" customHeight="false" outlineLevel="0" collapsed="false">
      <c r="A34" s="31" t="s">
        <v>8</v>
      </c>
      <c r="B34" s="9" t="s">
        <v>148</v>
      </c>
      <c r="C34" s="11" t="n">
        <v>330</v>
      </c>
    </row>
    <row r="35" customFormat="false" ht="15" hidden="false" customHeight="false" outlineLevel="0" collapsed="false">
      <c r="A35" s="32" t="s">
        <v>13</v>
      </c>
      <c r="B35" s="9" t="s">
        <v>149</v>
      </c>
      <c r="C35" s="11" t="n">
        <v>440</v>
      </c>
    </row>
    <row r="36" customFormat="false" ht="15" hidden="false" customHeight="false" outlineLevel="0" collapsed="false">
      <c r="A36" s="20" t="s">
        <v>20</v>
      </c>
      <c r="B36" s="9" t="s">
        <v>129</v>
      </c>
      <c r="C36" s="11" t="n">
        <v>185</v>
      </c>
    </row>
    <row r="37" customFormat="false" ht="15" hidden="false" customHeight="false" outlineLevel="0" collapsed="false">
      <c r="A37" s="33" t="s">
        <v>23</v>
      </c>
      <c r="B37" s="9" t="s">
        <v>150</v>
      </c>
      <c r="C37" s="11" t="n">
        <v>455</v>
      </c>
    </row>
    <row r="38" customFormat="false" ht="15" hidden="false" customHeight="false" outlineLevel="0" collapsed="false">
      <c r="A38" s="34" t="s">
        <v>131</v>
      </c>
      <c r="B38" s="9" t="s">
        <v>132</v>
      </c>
      <c r="C38" s="11" t="n">
        <v>190</v>
      </c>
    </row>
    <row r="40" customFormat="false" ht="15" hidden="false" customHeight="false" outlineLevel="0" collapsed="false">
      <c r="A40" s="29" t="s">
        <v>151</v>
      </c>
      <c r="B40" s="29"/>
      <c r="C40" s="30" t="n">
        <f aca="false">SUM(C41:C45)</f>
        <v>1520</v>
      </c>
    </row>
    <row r="41" customFormat="false" ht="15" hidden="false" customHeight="false" outlineLevel="0" collapsed="false">
      <c r="A41" s="31" t="s">
        <v>8</v>
      </c>
      <c r="B41" s="9" t="s">
        <v>152</v>
      </c>
      <c r="C41" s="11" t="n">
        <v>335</v>
      </c>
    </row>
    <row r="42" customFormat="false" ht="15" hidden="false" customHeight="false" outlineLevel="0" collapsed="false">
      <c r="A42" s="32" t="s">
        <v>13</v>
      </c>
      <c r="B42" s="9" t="s">
        <v>153</v>
      </c>
      <c r="C42" s="11" t="n">
        <v>435</v>
      </c>
    </row>
    <row r="43" customFormat="false" ht="15" hidden="false" customHeight="false" outlineLevel="0" collapsed="false">
      <c r="A43" s="20" t="s">
        <v>20</v>
      </c>
      <c r="B43" s="9" t="s">
        <v>136</v>
      </c>
      <c r="C43" s="11" t="n">
        <v>135</v>
      </c>
    </row>
    <row r="44" customFormat="false" ht="15" hidden="false" customHeight="false" outlineLevel="0" collapsed="false">
      <c r="A44" s="33" t="s">
        <v>23</v>
      </c>
      <c r="B44" s="9" t="s">
        <v>115</v>
      </c>
      <c r="C44" s="11" t="n">
        <v>435</v>
      </c>
    </row>
    <row r="45" customFormat="false" ht="15" hidden="false" customHeight="false" outlineLevel="0" collapsed="false">
      <c r="A45" s="34" t="s">
        <v>131</v>
      </c>
      <c r="B45" s="9" t="s">
        <v>138</v>
      </c>
      <c r="C45" s="11" t="n">
        <v>180</v>
      </c>
    </row>
    <row r="47" customFormat="false" ht="15" hidden="false" customHeight="false" outlineLevel="0" collapsed="false">
      <c r="A47" s="29" t="s">
        <v>154</v>
      </c>
      <c r="B47" s="29"/>
      <c r="C47" s="30" t="n">
        <f aca="false">SUM(C48:C52)</f>
        <v>1575</v>
      </c>
    </row>
    <row r="48" customFormat="false" ht="15" hidden="false" customHeight="false" outlineLevel="0" collapsed="false">
      <c r="A48" s="31" t="s">
        <v>8</v>
      </c>
      <c r="B48" s="9" t="s">
        <v>155</v>
      </c>
      <c r="C48" s="11" t="n">
        <v>330</v>
      </c>
    </row>
    <row r="49" customFormat="false" ht="15" hidden="false" customHeight="false" outlineLevel="0" collapsed="false">
      <c r="A49" s="32" t="s">
        <v>13</v>
      </c>
      <c r="B49" s="9" t="s">
        <v>156</v>
      </c>
      <c r="C49" s="11" t="n">
        <v>435</v>
      </c>
    </row>
    <row r="50" customFormat="false" ht="15" hidden="false" customHeight="false" outlineLevel="0" collapsed="false">
      <c r="A50" s="20" t="s">
        <v>20</v>
      </c>
      <c r="B50" s="9" t="s">
        <v>132</v>
      </c>
      <c r="C50" s="11" t="n">
        <v>190</v>
      </c>
    </row>
    <row r="51" customFormat="false" ht="15" hidden="false" customHeight="false" outlineLevel="0" collapsed="false">
      <c r="A51" s="33" t="s">
        <v>23</v>
      </c>
      <c r="B51" s="9" t="s">
        <v>157</v>
      </c>
      <c r="C51" s="11" t="n">
        <v>435</v>
      </c>
    </row>
    <row r="52" customFormat="false" ht="15" hidden="false" customHeight="false" outlineLevel="0" collapsed="false">
      <c r="A52" s="34" t="s">
        <v>131</v>
      </c>
      <c r="B52" s="9" t="s">
        <v>129</v>
      </c>
      <c r="C52" s="11" t="n">
        <v>185</v>
      </c>
    </row>
    <row r="55" customFormat="false" ht="19.5" hidden="false" customHeight="true" outlineLevel="0" collapsed="false">
      <c r="A55" s="28" t="s">
        <v>158</v>
      </c>
      <c r="B55" s="28"/>
      <c r="C55" s="28"/>
    </row>
    <row r="56" customFormat="false" ht="15" hidden="false" customHeight="false" outlineLevel="0" collapsed="false">
      <c r="A56" s="29" t="s">
        <v>126</v>
      </c>
      <c r="B56" s="29"/>
      <c r="C56" s="30" t="n">
        <f aca="false">SUM(C57:C61)</f>
        <v>1530</v>
      </c>
    </row>
    <row r="57" customFormat="false" ht="15" hidden="false" customHeight="false" outlineLevel="0" collapsed="false">
      <c r="A57" s="31" t="s">
        <v>8</v>
      </c>
      <c r="B57" s="9" t="s">
        <v>159</v>
      </c>
      <c r="C57" s="11" t="n">
        <v>340</v>
      </c>
    </row>
    <row r="58" customFormat="false" ht="15" hidden="false" customHeight="false" outlineLevel="0" collapsed="false">
      <c r="A58" s="32" t="s">
        <v>13</v>
      </c>
      <c r="B58" s="9" t="s">
        <v>160</v>
      </c>
      <c r="C58" s="11" t="n">
        <v>435</v>
      </c>
    </row>
    <row r="59" customFormat="false" ht="15" hidden="false" customHeight="false" outlineLevel="0" collapsed="false">
      <c r="A59" s="20" t="s">
        <v>20</v>
      </c>
      <c r="B59" s="9" t="s">
        <v>138</v>
      </c>
      <c r="C59" s="11" t="n">
        <v>180</v>
      </c>
    </row>
    <row r="60" customFormat="false" ht="15" hidden="false" customHeight="false" outlineLevel="0" collapsed="false">
      <c r="A60" s="33" t="s">
        <v>23</v>
      </c>
      <c r="B60" s="9" t="s">
        <v>161</v>
      </c>
      <c r="C60" s="11" t="n">
        <v>440</v>
      </c>
    </row>
    <row r="61" customFormat="false" ht="15" hidden="false" customHeight="false" outlineLevel="0" collapsed="false">
      <c r="A61" s="34" t="s">
        <v>131</v>
      </c>
      <c r="B61" s="9" t="s">
        <v>136</v>
      </c>
      <c r="C61" s="11" t="n">
        <v>135</v>
      </c>
    </row>
    <row r="63" customFormat="false" ht="15" hidden="false" customHeight="false" outlineLevel="0" collapsed="false">
      <c r="A63" s="29" t="s">
        <v>133</v>
      </c>
      <c r="B63" s="29"/>
      <c r="C63" s="30" t="n">
        <f aca="false">SUM(C64:C68)</f>
        <v>1570</v>
      </c>
    </row>
    <row r="64" customFormat="false" ht="15" hidden="false" customHeight="false" outlineLevel="0" collapsed="false">
      <c r="A64" s="31" t="s">
        <v>8</v>
      </c>
      <c r="B64" s="9" t="s">
        <v>127</v>
      </c>
      <c r="C64" s="11" t="n">
        <v>330</v>
      </c>
    </row>
    <row r="65" customFormat="false" ht="15" hidden="false" customHeight="false" outlineLevel="0" collapsed="false">
      <c r="A65" s="32" t="s">
        <v>13</v>
      </c>
      <c r="B65" s="9" t="s">
        <v>162</v>
      </c>
      <c r="C65" s="11" t="n">
        <v>430</v>
      </c>
    </row>
    <row r="66" customFormat="false" ht="15" hidden="false" customHeight="false" outlineLevel="0" collapsed="false">
      <c r="A66" s="20" t="s">
        <v>20</v>
      </c>
      <c r="B66" s="9" t="s">
        <v>129</v>
      </c>
      <c r="C66" s="11" t="n">
        <v>185</v>
      </c>
    </row>
    <row r="67" customFormat="false" ht="15" hidden="false" customHeight="false" outlineLevel="0" collapsed="false">
      <c r="A67" s="33" t="s">
        <v>23</v>
      </c>
      <c r="B67" s="9" t="s">
        <v>163</v>
      </c>
      <c r="C67" s="11" t="n">
        <v>435</v>
      </c>
    </row>
    <row r="68" customFormat="false" ht="15" hidden="false" customHeight="false" outlineLevel="0" collapsed="false">
      <c r="A68" s="34" t="s">
        <v>131</v>
      </c>
      <c r="B68" s="9" t="s">
        <v>132</v>
      </c>
      <c r="C68" s="11" t="n">
        <v>190</v>
      </c>
    </row>
    <row r="70" customFormat="false" ht="15" hidden="false" customHeight="false" outlineLevel="0" collapsed="false">
      <c r="A70" s="29" t="s">
        <v>139</v>
      </c>
      <c r="B70" s="29"/>
      <c r="C70" s="30" t="n">
        <f aca="false">SUM(C71:C75)</f>
        <v>1525</v>
      </c>
    </row>
    <row r="71" customFormat="false" ht="15" hidden="false" customHeight="false" outlineLevel="0" collapsed="false">
      <c r="A71" s="31" t="s">
        <v>8</v>
      </c>
      <c r="B71" s="9" t="s">
        <v>134</v>
      </c>
      <c r="C71" s="11" t="n">
        <v>335</v>
      </c>
    </row>
    <row r="72" customFormat="false" ht="15" hidden="false" customHeight="false" outlineLevel="0" collapsed="false">
      <c r="A72" s="32" t="s">
        <v>13</v>
      </c>
      <c r="B72" s="9" t="s">
        <v>164</v>
      </c>
      <c r="C72" s="11" t="n">
        <v>435</v>
      </c>
    </row>
    <row r="73" customFormat="false" ht="15" hidden="false" customHeight="false" outlineLevel="0" collapsed="false">
      <c r="A73" s="20" t="s">
        <v>20</v>
      </c>
      <c r="B73" s="9" t="s">
        <v>136</v>
      </c>
      <c r="C73" s="11" t="n">
        <v>135</v>
      </c>
    </row>
    <row r="74" customFormat="false" ht="15" hidden="false" customHeight="false" outlineLevel="0" collapsed="false">
      <c r="A74" s="33" t="s">
        <v>23</v>
      </c>
      <c r="B74" s="9" t="s">
        <v>165</v>
      </c>
      <c r="C74" s="11" t="n">
        <v>440</v>
      </c>
    </row>
    <row r="75" customFormat="false" ht="15" hidden="false" customHeight="false" outlineLevel="0" collapsed="false">
      <c r="A75" s="34" t="s">
        <v>131</v>
      </c>
      <c r="B75" s="9" t="s">
        <v>138</v>
      </c>
      <c r="C75" s="11" t="n">
        <v>180</v>
      </c>
    </row>
    <row r="77" customFormat="false" ht="15" hidden="false" customHeight="false" outlineLevel="0" collapsed="false">
      <c r="A77" s="29" t="s">
        <v>143</v>
      </c>
      <c r="B77" s="29"/>
      <c r="C77" s="30" t="n">
        <f aca="false">SUM(C78:C82)</f>
        <v>1580</v>
      </c>
    </row>
    <row r="78" customFormat="false" ht="15" hidden="false" customHeight="false" outlineLevel="0" collapsed="false">
      <c r="A78" s="31" t="s">
        <v>8</v>
      </c>
      <c r="B78" s="9" t="s">
        <v>140</v>
      </c>
      <c r="C78" s="11" t="n">
        <v>330</v>
      </c>
    </row>
    <row r="79" customFormat="false" ht="15" hidden="false" customHeight="false" outlineLevel="0" collapsed="false">
      <c r="A79" s="32" t="s">
        <v>13</v>
      </c>
      <c r="B79" s="9" t="s">
        <v>166</v>
      </c>
      <c r="C79" s="11" t="n">
        <v>435</v>
      </c>
    </row>
    <row r="80" customFormat="false" ht="15" hidden="false" customHeight="false" outlineLevel="0" collapsed="false">
      <c r="A80" s="20" t="s">
        <v>20</v>
      </c>
      <c r="B80" s="9" t="s">
        <v>132</v>
      </c>
      <c r="C80" s="11" t="n">
        <v>190</v>
      </c>
    </row>
    <row r="81" customFormat="false" ht="15" hidden="false" customHeight="false" outlineLevel="0" collapsed="false">
      <c r="A81" s="33" t="s">
        <v>23</v>
      </c>
      <c r="B81" s="9" t="s">
        <v>167</v>
      </c>
      <c r="C81" s="11" t="n">
        <v>440</v>
      </c>
    </row>
    <row r="82" customFormat="false" ht="15" hidden="false" customHeight="false" outlineLevel="0" collapsed="false">
      <c r="A82" s="34" t="s">
        <v>131</v>
      </c>
      <c r="B82" s="9" t="s">
        <v>129</v>
      </c>
      <c r="C82" s="11" t="n">
        <v>185</v>
      </c>
    </row>
    <row r="84" customFormat="false" ht="15" hidden="false" customHeight="false" outlineLevel="0" collapsed="false">
      <c r="A84" s="29" t="s">
        <v>147</v>
      </c>
      <c r="B84" s="29"/>
      <c r="C84" s="30" t="n">
        <f aca="false">SUM(C85:C89)</f>
        <v>1515</v>
      </c>
    </row>
    <row r="85" customFormat="false" ht="15" hidden="false" customHeight="false" outlineLevel="0" collapsed="false">
      <c r="A85" s="31" t="s">
        <v>8</v>
      </c>
      <c r="B85" s="9" t="s">
        <v>144</v>
      </c>
      <c r="C85" s="11" t="n">
        <v>330</v>
      </c>
    </row>
    <row r="86" customFormat="false" ht="15" hidden="false" customHeight="false" outlineLevel="0" collapsed="false">
      <c r="A86" s="32" t="s">
        <v>13</v>
      </c>
      <c r="B86" s="9" t="s">
        <v>168</v>
      </c>
      <c r="C86" s="11" t="n">
        <v>430</v>
      </c>
    </row>
    <row r="87" customFormat="false" ht="15" hidden="false" customHeight="false" outlineLevel="0" collapsed="false">
      <c r="A87" s="20" t="s">
        <v>20</v>
      </c>
      <c r="B87" s="9" t="s">
        <v>138</v>
      </c>
      <c r="C87" s="11" t="n">
        <v>180</v>
      </c>
    </row>
    <row r="88" customFormat="false" ht="15" hidden="false" customHeight="false" outlineLevel="0" collapsed="false">
      <c r="A88" s="33" t="s">
        <v>23</v>
      </c>
      <c r="B88" s="9" t="s">
        <v>169</v>
      </c>
      <c r="C88" s="11" t="n">
        <v>440</v>
      </c>
    </row>
    <row r="89" customFormat="false" ht="15" hidden="false" customHeight="false" outlineLevel="0" collapsed="false">
      <c r="A89" s="34" t="s">
        <v>131</v>
      </c>
      <c r="B89" s="9" t="s">
        <v>136</v>
      </c>
      <c r="C89" s="11" t="n">
        <v>135</v>
      </c>
    </row>
    <row r="91" customFormat="false" ht="15" hidden="false" customHeight="false" outlineLevel="0" collapsed="false">
      <c r="A91" s="29" t="s">
        <v>151</v>
      </c>
      <c r="B91" s="29"/>
      <c r="C91" s="30" t="n">
        <f aca="false">SUM(C92:C96)</f>
        <v>1565</v>
      </c>
    </row>
    <row r="92" customFormat="false" ht="15" hidden="false" customHeight="false" outlineLevel="0" collapsed="false">
      <c r="A92" s="31" t="s">
        <v>8</v>
      </c>
      <c r="B92" s="9" t="s">
        <v>148</v>
      </c>
      <c r="C92" s="11" t="n">
        <v>330</v>
      </c>
    </row>
    <row r="93" customFormat="false" ht="15" hidden="false" customHeight="false" outlineLevel="0" collapsed="false">
      <c r="A93" s="32" t="s">
        <v>13</v>
      </c>
      <c r="B93" s="9" t="s">
        <v>170</v>
      </c>
      <c r="C93" s="11" t="n">
        <v>425</v>
      </c>
    </row>
    <row r="94" customFormat="false" ht="15" hidden="false" customHeight="false" outlineLevel="0" collapsed="false">
      <c r="A94" s="20" t="s">
        <v>20</v>
      </c>
      <c r="B94" s="9" t="s">
        <v>129</v>
      </c>
      <c r="C94" s="11" t="n">
        <v>185</v>
      </c>
    </row>
    <row r="95" customFormat="false" ht="15" hidden="false" customHeight="false" outlineLevel="0" collapsed="false">
      <c r="A95" s="33" t="s">
        <v>23</v>
      </c>
      <c r="B95" s="9" t="s">
        <v>171</v>
      </c>
      <c r="C95" s="11" t="n">
        <v>435</v>
      </c>
    </row>
    <row r="96" customFormat="false" ht="15" hidden="false" customHeight="false" outlineLevel="0" collapsed="false">
      <c r="A96" s="34" t="s">
        <v>131</v>
      </c>
      <c r="B96" s="9" t="s">
        <v>132</v>
      </c>
      <c r="C96" s="11" t="n">
        <v>190</v>
      </c>
    </row>
    <row r="98" customFormat="false" ht="15" hidden="false" customHeight="false" outlineLevel="0" collapsed="false">
      <c r="A98" s="29" t="s">
        <v>154</v>
      </c>
      <c r="B98" s="29"/>
      <c r="C98" s="30" t="n">
        <f aca="false">SUM(C99:C103)</f>
        <v>1525</v>
      </c>
    </row>
    <row r="99" customFormat="false" ht="15" hidden="false" customHeight="false" outlineLevel="0" collapsed="false">
      <c r="A99" s="31" t="s">
        <v>8</v>
      </c>
      <c r="B99" s="9" t="s">
        <v>152</v>
      </c>
      <c r="C99" s="11" t="n">
        <v>335</v>
      </c>
    </row>
    <row r="100" customFormat="false" ht="15" hidden="false" customHeight="false" outlineLevel="0" collapsed="false">
      <c r="A100" s="32" t="s">
        <v>13</v>
      </c>
      <c r="B100" s="9" t="s">
        <v>172</v>
      </c>
      <c r="C100" s="11" t="n">
        <v>440</v>
      </c>
    </row>
    <row r="101" customFormat="false" ht="15" hidden="false" customHeight="false" outlineLevel="0" collapsed="false">
      <c r="A101" s="20" t="s">
        <v>20</v>
      </c>
      <c r="B101" s="9" t="s">
        <v>136</v>
      </c>
      <c r="C101" s="11" t="n">
        <v>135</v>
      </c>
    </row>
    <row r="102" customFormat="false" ht="15" hidden="false" customHeight="false" outlineLevel="0" collapsed="false">
      <c r="A102" s="33" t="s">
        <v>23</v>
      </c>
      <c r="B102" s="9" t="s">
        <v>173</v>
      </c>
      <c r="C102" s="11" t="n">
        <v>435</v>
      </c>
    </row>
    <row r="103" customFormat="false" ht="15" hidden="false" customHeight="false" outlineLevel="0" collapsed="false">
      <c r="A103" s="34" t="s">
        <v>131</v>
      </c>
      <c r="B103" s="9" t="s">
        <v>138</v>
      </c>
      <c r="C103" s="11" t="n">
        <v>180</v>
      </c>
    </row>
    <row r="106" customFormat="false" ht="19.5" hidden="false" customHeight="true" outlineLevel="0" collapsed="false">
      <c r="A106" s="28" t="s">
        <v>174</v>
      </c>
      <c r="B106" s="28"/>
      <c r="C106" s="28"/>
    </row>
    <row r="107" customFormat="false" ht="15" hidden="false" customHeight="false" outlineLevel="0" collapsed="false">
      <c r="A107" s="29" t="s">
        <v>126</v>
      </c>
      <c r="B107" s="29"/>
      <c r="C107" s="30" t="n">
        <f aca="false">SUM(C108:C112)</f>
        <v>1580</v>
      </c>
    </row>
    <row r="108" customFormat="false" ht="15" hidden="false" customHeight="false" outlineLevel="0" collapsed="false">
      <c r="A108" s="31" t="s">
        <v>8</v>
      </c>
      <c r="B108" s="9" t="s">
        <v>155</v>
      </c>
      <c r="C108" s="11" t="n">
        <v>330</v>
      </c>
    </row>
    <row r="109" customFormat="false" ht="15" hidden="false" customHeight="false" outlineLevel="0" collapsed="false">
      <c r="A109" s="32" t="s">
        <v>13</v>
      </c>
      <c r="B109" s="9" t="s">
        <v>175</v>
      </c>
      <c r="C109" s="11" t="n">
        <v>440</v>
      </c>
    </row>
    <row r="110" customFormat="false" ht="15" hidden="false" customHeight="false" outlineLevel="0" collapsed="false">
      <c r="A110" s="20" t="s">
        <v>20</v>
      </c>
      <c r="B110" s="9" t="s">
        <v>132</v>
      </c>
      <c r="C110" s="11" t="n">
        <v>190</v>
      </c>
    </row>
    <row r="111" customFormat="false" ht="15" hidden="false" customHeight="false" outlineLevel="0" collapsed="false">
      <c r="A111" s="33" t="s">
        <v>23</v>
      </c>
      <c r="B111" s="9" t="s">
        <v>176</v>
      </c>
      <c r="C111" s="11" t="n">
        <v>435</v>
      </c>
    </row>
    <row r="112" customFormat="false" ht="15" hidden="false" customHeight="false" outlineLevel="0" collapsed="false">
      <c r="A112" s="34" t="s">
        <v>131</v>
      </c>
      <c r="B112" s="9" t="s">
        <v>129</v>
      </c>
      <c r="C112" s="11" t="n">
        <v>185</v>
      </c>
    </row>
    <row r="114" customFormat="false" ht="15" hidden="false" customHeight="false" outlineLevel="0" collapsed="false">
      <c r="A114" s="29" t="s">
        <v>133</v>
      </c>
      <c r="B114" s="29"/>
      <c r="C114" s="30" t="n">
        <f aca="false">SUM(C115:C119)</f>
        <v>1530</v>
      </c>
    </row>
    <row r="115" customFormat="false" ht="15" hidden="false" customHeight="false" outlineLevel="0" collapsed="false">
      <c r="A115" s="31" t="s">
        <v>8</v>
      </c>
      <c r="B115" s="9" t="s">
        <v>159</v>
      </c>
      <c r="C115" s="11" t="n">
        <v>340</v>
      </c>
    </row>
    <row r="116" customFormat="false" ht="15" hidden="false" customHeight="false" outlineLevel="0" collapsed="false">
      <c r="A116" s="32" t="s">
        <v>13</v>
      </c>
      <c r="B116" s="9" t="s">
        <v>177</v>
      </c>
      <c r="C116" s="11" t="n">
        <v>440</v>
      </c>
    </row>
    <row r="117" customFormat="false" ht="15" hidden="false" customHeight="false" outlineLevel="0" collapsed="false">
      <c r="A117" s="20" t="s">
        <v>20</v>
      </c>
      <c r="B117" s="9" t="s">
        <v>138</v>
      </c>
      <c r="C117" s="11" t="n">
        <v>180</v>
      </c>
    </row>
    <row r="118" customFormat="false" ht="15" hidden="false" customHeight="false" outlineLevel="0" collapsed="false">
      <c r="A118" s="33" t="s">
        <v>23</v>
      </c>
      <c r="B118" s="9" t="s">
        <v>178</v>
      </c>
      <c r="C118" s="11" t="n">
        <v>435</v>
      </c>
    </row>
    <row r="119" customFormat="false" ht="15" hidden="false" customHeight="false" outlineLevel="0" collapsed="false">
      <c r="A119" s="34" t="s">
        <v>131</v>
      </c>
      <c r="B119" s="9" t="s">
        <v>136</v>
      </c>
      <c r="C119" s="11" t="n">
        <v>135</v>
      </c>
    </row>
    <row r="121" customFormat="false" ht="15" hidden="false" customHeight="false" outlineLevel="0" collapsed="false">
      <c r="A121" s="29" t="s">
        <v>139</v>
      </c>
      <c r="B121" s="29"/>
      <c r="C121" s="30" t="n">
        <f aca="false">SUM(C122:C126)</f>
        <v>1580</v>
      </c>
    </row>
    <row r="122" customFormat="false" ht="15" hidden="false" customHeight="false" outlineLevel="0" collapsed="false">
      <c r="A122" s="31" t="s">
        <v>8</v>
      </c>
      <c r="B122" s="9" t="s">
        <v>127</v>
      </c>
      <c r="C122" s="11" t="n">
        <v>330</v>
      </c>
    </row>
    <row r="123" customFormat="false" ht="15" hidden="false" customHeight="false" outlineLevel="0" collapsed="false">
      <c r="A123" s="32" t="s">
        <v>13</v>
      </c>
      <c r="B123" s="9" t="s">
        <v>179</v>
      </c>
      <c r="C123" s="11" t="n">
        <v>440</v>
      </c>
    </row>
    <row r="124" customFormat="false" ht="15" hidden="false" customHeight="false" outlineLevel="0" collapsed="false">
      <c r="A124" s="20" t="s">
        <v>20</v>
      </c>
      <c r="B124" s="9" t="s">
        <v>129</v>
      </c>
      <c r="C124" s="11" t="n">
        <v>185</v>
      </c>
    </row>
    <row r="125" customFormat="false" ht="15" hidden="false" customHeight="false" outlineLevel="0" collapsed="false">
      <c r="A125" s="33" t="s">
        <v>23</v>
      </c>
      <c r="B125" s="9" t="s">
        <v>141</v>
      </c>
      <c r="C125" s="11" t="n">
        <v>435</v>
      </c>
    </row>
    <row r="126" customFormat="false" ht="15" hidden="false" customHeight="false" outlineLevel="0" collapsed="false">
      <c r="A126" s="34" t="s">
        <v>131</v>
      </c>
      <c r="B126" s="9" t="s">
        <v>132</v>
      </c>
      <c r="C126" s="11" t="n">
        <v>190</v>
      </c>
    </row>
    <row r="128" customFormat="false" ht="15" hidden="false" customHeight="false" outlineLevel="0" collapsed="false">
      <c r="A128" s="29" t="s">
        <v>143</v>
      </c>
      <c r="B128" s="29"/>
      <c r="C128" s="30" t="n">
        <f aca="false">SUM(C129:C133)</f>
        <v>1515</v>
      </c>
    </row>
    <row r="129" customFormat="false" ht="15" hidden="false" customHeight="false" outlineLevel="0" collapsed="false">
      <c r="A129" s="31" t="s">
        <v>8</v>
      </c>
      <c r="B129" s="9" t="s">
        <v>134</v>
      </c>
      <c r="C129" s="11" t="n">
        <v>335</v>
      </c>
    </row>
    <row r="130" customFormat="false" ht="15" hidden="false" customHeight="false" outlineLevel="0" collapsed="false">
      <c r="A130" s="32" t="s">
        <v>13</v>
      </c>
      <c r="B130" s="9" t="s">
        <v>180</v>
      </c>
      <c r="C130" s="11" t="n">
        <v>430</v>
      </c>
    </row>
    <row r="131" customFormat="false" ht="15" hidden="false" customHeight="false" outlineLevel="0" collapsed="false">
      <c r="A131" s="20" t="s">
        <v>20</v>
      </c>
      <c r="B131" s="9" t="s">
        <v>136</v>
      </c>
      <c r="C131" s="11" t="n">
        <v>135</v>
      </c>
    </row>
    <row r="132" customFormat="false" ht="15" hidden="false" customHeight="false" outlineLevel="0" collapsed="false">
      <c r="A132" s="33" t="s">
        <v>23</v>
      </c>
      <c r="B132" s="9" t="s">
        <v>157</v>
      </c>
      <c r="C132" s="11" t="n">
        <v>435</v>
      </c>
    </row>
    <row r="133" customFormat="false" ht="15" hidden="false" customHeight="false" outlineLevel="0" collapsed="false">
      <c r="A133" s="34" t="s">
        <v>131</v>
      </c>
      <c r="B133" s="9" t="s">
        <v>138</v>
      </c>
      <c r="C133" s="11" t="n">
        <v>180</v>
      </c>
    </row>
    <row r="135" customFormat="false" ht="15" hidden="false" customHeight="false" outlineLevel="0" collapsed="false">
      <c r="A135" s="29" t="s">
        <v>147</v>
      </c>
      <c r="B135" s="29"/>
      <c r="C135" s="30" t="n">
        <f aca="false">SUM(C136:C140)</f>
        <v>1545</v>
      </c>
    </row>
    <row r="136" customFormat="false" ht="15" hidden="false" customHeight="false" outlineLevel="0" collapsed="false">
      <c r="A136" s="31" t="s">
        <v>8</v>
      </c>
      <c r="B136" s="9" t="s">
        <v>140</v>
      </c>
      <c r="C136" s="11" t="n">
        <v>330</v>
      </c>
    </row>
    <row r="137" customFormat="false" ht="15" hidden="false" customHeight="false" outlineLevel="0" collapsed="false">
      <c r="A137" s="32" t="s">
        <v>13</v>
      </c>
      <c r="B137" s="9" t="s">
        <v>181</v>
      </c>
      <c r="C137" s="11" t="n">
        <v>410</v>
      </c>
    </row>
    <row r="138" customFormat="false" ht="15" hidden="false" customHeight="false" outlineLevel="0" collapsed="false">
      <c r="A138" s="20" t="s">
        <v>20</v>
      </c>
      <c r="B138" s="9" t="s">
        <v>132</v>
      </c>
      <c r="C138" s="11" t="n">
        <v>190</v>
      </c>
    </row>
    <row r="139" customFormat="false" ht="15" hidden="false" customHeight="false" outlineLevel="0" collapsed="false">
      <c r="A139" s="33" t="s">
        <v>23</v>
      </c>
      <c r="B139" s="9" t="s">
        <v>182</v>
      </c>
      <c r="C139" s="11" t="n">
        <v>430</v>
      </c>
    </row>
    <row r="140" customFormat="false" ht="15" hidden="false" customHeight="false" outlineLevel="0" collapsed="false">
      <c r="A140" s="34" t="s">
        <v>131</v>
      </c>
      <c r="B140" s="9" t="s">
        <v>129</v>
      </c>
      <c r="C140" s="11" t="n">
        <v>185</v>
      </c>
    </row>
    <row r="142" customFormat="false" ht="15" hidden="false" customHeight="false" outlineLevel="0" collapsed="false">
      <c r="A142" s="29" t="s">
        <v>151</v>
      </c>
      <c r="B142" s="29"/>
      <c r="C142" s="30" t="n">
        <f aca="false">SUM(C143:C147)</f>
        <v>1510</v>
      </c>
    </row>
    <row r="143" customFormat="false" ht="15" hidden="false" customHeight="false" outlineLevel="0" collapsed="false">
      <c r="A143" s="31" t="s">
        <v>8</v>
      </c>
      <c r="B143" s="9" t="s">
        <v>144</v>
      </c>
      <c r="C143" s="11" t="n">
        <v>330</v>
      </c>
    </row>
    <row r="144" customFormat="false" ht="15" hidden="false" customHeight="false" outlineLevel="0" collapsed="false">
      <c r="A144" s="32" t="s">
        <v>13</v>
      </c>
      <c r="B144" s="9" t="s">
        <v>183</v>
      </c>
      <c r="C144" s="11" t="n">
        <v>430</v>
      </c>
    </row>
    <row r="145" customFormat="false" ht="15" hidden="false" customHeight="false" outlineLevel="0" collapsed="false">
      <c r="A145" s="20" t="s">
        <v>20</v>
      </c>
      <c r="B145" s="9" t="s">
        <v>138</v>
      </c>
      <c r="C145" s="11" t="n">
        <v>180</v>
      </c>
    </row>
    <row r="146" customFormat="false" ht="15" hidden="false" customHeight="false" outlineLevel="0" collapsed="false">
      <c r="A146" s="33" t="s">
        <v>23</v>
      </c>
      <c r="B146" s="9" t="s">
        <v>184</v>
      </c>
      <c r="C146" s="11" t="n">
        <v>435</v>
      </c>
    </row>
    <row r="147" customFormat="false" ht="15" hidden="false" customHeight="false" outlineLevel="0" collapsed="false">
      <c r="A147" s="34" t="s">
        <v>131</v>
      </c>
      <c r="B147" s="9" t="s">
        <v>136</v>
      </c>
      <c r="C147" s="11" t="n">
        <v>135</v>
      </c>
    </row>
    <row r="149" customFormat="false" ht="15" hidden="false" customHeight="false" outlineLevel="0" collapsed="false">
      <c r="A149" s="29" t="s">
        <v>154</v>
      </c>
      <c r="B149" s="29"/>
      <c r="C149" s="30" t="n">
        <f aca="false">SUM(C150:C154)</f>
        <v>1575</v>
      </c>
    </row>
    <row r="150" customFormat="false" ht="15" hidden="false" customHeight="false" outlineLevel="0" collapsed="false">
      <c r="A150" s="31" t="s">
        <v>8</v>
      </c>
      <c r="B150" s="9" t="s">
        <v>148</v>
      </c>
      <c r="C150" s="11" t="n">
        <v>330</v>
      </c>
    </row>
    <row r="151" customFormat="false" ht="15" hidden="false" customHeight="false" outlineLevel="0" collapsed="false">
      <c r="A151" s="32" t="s">
        <v>13</v>
      </c>
      <c r="B151" s="9" t="s">
        <v>185</v>
      </c>
      <c r="C151" s="11" t="n">
        <v>435</v>
      </c>
    </row>
    <row r="152" customFormat="false" ht="15" hidden="false" customHeight="false" outlineLevel="0" collapsed="false">
      <c r="A152" s="20" t="s">
        <v>20</v>
      </c>
      <c r="B152" s="9" t="s">
        <v>129</v>
      </c>
      <c r="C152" s="11" t="n">
        <v>185</v>
      </c>
    </row>
    <row r="153" customFormat="false" ht="15" hidden="false" customHeight="false" outlineLevel="0" collapsed="false">
      <c r="A153" s="33" t="s">
        <v>23</v>
      </c>
      <c r="B153" s="9" t="s">
        <v>186</v>
      </c>
      <c r="C153" s="11" t="n">
        <v>435</v>
      </c>
    </row>
    <row r="154" customFormat="false" ht="15" hidden="false" customHeight="false" outlineLevel="0" collapsed="false">
      <c r="A154" s="34" t="s">
        <v>131</v>
      </c>
      <c r="B154" s="9" t="s">
        <v>132</v>
      </c>
      <c r="C154" s="11" t="n">
        <v>190</v>
      </c>
    </row>
    <row r="157" customFormat="false" ht="15" hidden="false" customHeight="false" outlineLevel="0" collapsed="false">
      <c r="A157" s="35" t="s">
        <v>187</v>
      </c>
      <c r="B157" s="35"/>
      <c r="C157" s="36" t="n">
        <f aca="false">AVERAGE(C5,C12,C19,C26,C33,C40,C47,C56,C63,C70,C77,C84,C91,C98,C107,C114,C121,C128,C135,C142,C149)</f>
        <v>1546.90476190476</v>
      </c>
    </row>
  </sheetData>
  <mergeCells count="27">
    <mergeCell ref="A1:C1"/>
    <mergeCell ref="A2:C2"/>
    <mergeCell ref="A4:C4"/>
    <mergeCell ref="A5:B5"/>
    <mergeCell ref="A12:B12"/>
    <mergeCell ref="A19:B19"/>
    <mergeCell ref="A26:B26"/>
    <mergeCell ref="A33:B33"/>
    <mergeCell ref="A40:B40"/>
    <mergeCell ref="A47:B47"/>
    <mergeCell ref="A55:C55"/>
    <mergeCell ref="A56:B56"/>
    <mergeCell ref="A63:B63"/>
    <mergeCell ref="A70:B70"/>
    <mergeCell ref="A77:B77"/>
    <mergeCell ref="A84:B84"/>
    <mergeCell ref="A91:B91"/>
    <mergeCell ref="A98:B98"/>
    <mergeCell ref="A106:C106"/>
    <mergeCell ref="A107:B107"/>
    <mergeCell ref="A114:B114"/>
    <mergeCell ref="A121:B121"/>
    <mergeCell ref="A128:B128"/>
    <mergeCell ref="A135:B135"/>
    <mergeCell ref="A142:B142"/>
    <mergeCell ref="A149:B149"/>
    <mergeCell ref="A157:B1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7.99"/>
    <col collapsed="false" customWidth="true" hidden="false" outlineLevel="0" max="2" min="2" style="0" width="8"/>
    <col collapsed="false" customWidth="true" hidden="false" outlineLevel="0" max="3" min="3" style="0" width="87.99"/>
  </cols>
  <sheetData>
    <row r="1" customFormat="false" ht="24" hidden="false" customHeight="true" outlineLevel="0" collapsed="false">
      <c r="A1" s="37" t="s">
        <v>188</v>
      </c>
      <c r="B1" s="37"/>
      <c r="C1" s="37"/>
    </row>
    <row r="3" customFormat="false" ht="18" hidden="false" customHeight="true" outlineLevel="0" collapsed="false">
      <c r="A3" s="38" t="s">
        <v>189</v>
      </c>
      <c r="B3" s="38"/>
      <c r="C3" s="38"/>
    </row>
    <row r="4" customFormat="false" ht="15" hidden="false" customHeight="false" outlineLevel="0" collapsed="false">
      <c r="A4" s="7" t="s">
        <v>76</v>
      </c>
      <c r="B4" s="6" t="s">
        <v>7</v>
      </c>
      <c r="C4" s="7" t="s">
        <v>190</v>
      </c>
    </row>
    <row r="5" customFormat="false" ht="31.5" hidden="false" customHeight="true" outlineLevel="0" collapsed="false">
      <c r="A5" s="39" t="s">
        <v>130</v>
      </c>
      <c r="B5" s="11" t="n">
        <v>430</v>
      </c>
      <c r="C5" s="40" t="s">
        <v>191</v>
      </c>
    </row>
    <row r="6" customFormat="false" ht="31.5" hidden="false" customHeight="true" outlineLevel="0" collapsed="false">
      <c r="A6" s="39" t="s">
        <v>142</v>
      </c>
      <c r="B6" s="11" t="n">
        <v>435</v>
      </c>
      <c r="C6" s="40" t="s">
        <v>192</v>
      </c>
    </row>
    <row r="7" customFormat="false" ht="31.5" hidden="false" customHeight="true" outlineLevel="0" collapsed="false">
      <c r="A7" s="39" t="s">
        <v>168</v>
      </c>
      <c r="B7" s="11" t="n">
        <v>430</v>
      </c>
      <c r="C7" s="40" t="s">
        <v>193</v>
      </c>
    </row>
    <row r="8" customFormat="false" ht="31.5" hidden="false" customHeight="true" outlineLevel="0" collapsed="false">
      <c r="A8" s="39" t="s">
        <v>164</v>
      </c>
      <c r="B8" s="11" t="n">
        <v>435</v>
      </c>
      <c r="C8" s="40" t="s">
        <v>194</v>
      </c>
    </row>
    <row r="9" customFormat="false" ht="31.5" hidden="false" customHeight="true" outlineLevel="0" collapsed="false">
      <c r="A9" s="39" t="s">
        <v>186</v>
      </c>
      <c r="B9" s="11" t="n">
        <v>435</v>
      </c>
      <c r="C9" s="40" t="s">
        <v>195</v>
      </c>
    </row>
    <row r="10" customFormat="false" ht="31.5" hidden="false" customHeight="true" outlineLevel="0" collapsed="false">
      <c r="A10" s="39" t="s">
        <v>146</v>
      </c>
      <c r="B10" s="11" t="n">
        <v>435</v>
      </c>
      <c r="C10" s="40" t="s">
        <v>196</v>
      </c>
    </row>
    <row r="11" customFormat="false" ht="31.5" hidden="false" customHeight="true" outlineLevel="0" collapsed="false">
      <c r="A11" s="39" t="s">
        <v>178</v>
      </c>
      <c r="B11" s="11" t="n">
        <v>435</v>
      </c>
      <c r="C11" s="40" t="s">
        <v>197</v>
      </c>
    </row>
    <row r="12" customFormat="false" ht="31.5" hidden="false" customHeight="true" outlineLevel="0" collapsed="false">
      <c r="A12" s="39" t="s">
        <v>156</v>
      </c>
      <c r="B12" s="11" t="n">
        <v>435</v>
      </c>
      <c r="C12" s="40" t="s">
        <v>198</v>
      </c>
    </row>
    <row r="13" customFormat="false" ht="31.5" hidden="false" customHeight="true" outlineLevel="0" collapsed="false">
      <c r="A13" s="39" t="s">
        <v>180</v>
      </c>
      <c r="B13" s="11" t="n">
        <v>430</v>
      </c>
      <c r="C13" s="40" t="s">
        <v>199</v>
      </c>
    </row>
    <row r="14" customFormat="false" ht="31.5" hidden="false" customHeight="true" outlineLevel="0" collapsed="false">
      <c r="A14" s="39" t="s">
        <v>175</v>
      </c>
      <c r="B14" s="11" t="n">
        <v>440</v>
      </c>
      <c r="C14" s="40" t="s">
        <v>200</v>
      </c>
    </row>
    <row r="15" customFormat="false" ht="31.5" hidden="false" customHeight="true" outlineLevel="0" collapsed="false">
      <c r="A15" s="39" t="s">
        <v>172</v>
      </c>
      <c r="B15" s="11" t="n">
        <v>440</v>
      </c>
      <c r="C15" s="40" t="s">
        <v>201</v>
      </c>
    </row>
    <row r="16" customFormat="false" ht="31.5" hidden="false" customHeight="true" outlineLevel="0" collapsed="false">
      <c r="A16" s="39" t="s">
        <v>145</v>
      </c>
      <c r="B16" s="11" t="n">
        <v>435</v>
      </c>
      <c r="C16" s="40" t="s">
        <v>202</v>
      </c>
    </row>
    <row r="17" customFormat="false" ht="31.5" hidden="false" customHeight="true" outlineLevel="0" collapsed="false">
      <c r="A17" s="39" t="s">
        <v>166</v>
      </c>
      <c r="B17" s="11" t="n">
        <v>435</v>
      </c>
      <c r="C17" s="40" t="s">
        <v>203</v>
      </c>
    </row>
    <row r="18" customFormat="false" ht="31.5" hidden="false" customHeight="true" outlineLevel="0" collapsed="false">
      <c r="A18" s="39" t="s">
        <v>177</v>
      </c>
      <c r="B18" s="11" t="n">
        <v>440</v>
      </c>
      <c r="C18" s="40" t="s">
        <v>204</v>
      </c>
    </row>
    <row r="19" customFormat="false" ht="31.5" hidden="false" customHeight="true" outlineLevel="0" collapsed="false">
      <c r="A19" s="39" t="s">
        <v>150</v>
      </c>
      <c r="B19" s="11" t="n">
        <v>455</v>
      </c>
      <c r="C19" s="40" t="s">
        <v>205</v>
      </c>
    </row>
    <row r="20" customFormat="false" ht="31.5" hidden="false" customHeight="true" outlineLevel="0" collapsed="false">
      <c r="A20" s="39" t="s">
        <v>179</v>
      </c>
      <c r="B20" s="11" t="n">
        <v>440</v>
      </c>
      <c r="C20" s="40" t="s">
        <v>206</v>
      </c>
    </row>
    <row r="21" customFormat="false" ht="31.5" hidden="false" customHeight="true" outlineLevel="0" collapsed="false">
      <c r="A21" s="39" t="s">
        <v>171</v>
      </c>
      <c r="B21" s="11" t="n">
        <v>435</v>
      </c>
      <c r="C21" s="40" t="s">
        <v>207</v>
      </c>
    </row>
    <row r="22" customFormat="false" ht="31.5" hidden="false" customHeight="true" outlineLevel="0" collapsed="false">
      <c r="A22" s="39" t="s">
        <v>161</v>
      </c>
      <c r="B22" s="11" t="n">
        <v>440</v>
      </c>
      <c r="C22" s="40" t="s">
        <v>208</v>
      </c>
    </row>
    <row r="23" customFormat="false" ht="31.5" hidden="false" customHeight="true" outlineLevel="0" collapsed="false">
      <c r="A23" s="39" t="s">
        <v>167</v>
      </c>
      <c r="B23" s="11" t="n">
        <v>440</v>
      </c>
      <c r="C23" s="40" t="s">
        <v>209</v>
      </c>
    </row>
    <row r="24" customFormat="false" ht="31.5" hidden="false" customHeight="true" outlineLevel="0" collapsed="false">
      <c r="A24" s="39" t="s">
        <v>137</v>
      </c>
      <c r="B24" s="11" t="n">
        <v>435</v>
      </c>
      <c r="C24" s="40" t="s">
        <v>210</v>
      </c>
    </row>
    <row r="25" customFormat="false" ht="31.5" hidden="false" customHeight="true" outlineLevel="0" collapsed="false">
      <c r="A25" s="39" t="s">
        <v>128</v>
      </c>
      <c r="B25" s="11" t="n">
        <v>435</v>
      </c>
      <c r="C25" s="40" t="s">
        <v>211</v>
      </c>
    </row>
    <row r="26" customFormat="false" ht="31.5" hidden="false" customHeight="true" outlineLevel="0" collapsed="false">
      <c r="A26" s="39" t="s">
        <v>141</v>
      </c>
      <c r="B26" s="11" t="n">
        <v>435</v>
      </c>
      <c r="C26" s="40" t="s">
        <v>212</v>
      </c>
    </row>
    <row r="27" customFormat="false" ht="31.5" hidden="false" customHeight="true" outlineLevel="0" collapsed="false">
      <c r="A27" s="39" t="s">
        <v>157</v>
      </c>
      <c r="B27" s="11" t="n">
        <v>435</v>
      </c>
      <c r="C27" s="40" t="s">
        <v>213</v>
      </c>
    </row>
    <row r="28" customFormat="false" ht="31.5" hidden="false" customHeight="true" outlineLevel="0" collapsed="false">
      <c r="A28" s="39" t="s">
        <v>176</v>
      </c>
      <c r="B28" s="11" t="n">
        <v>435</v>
      </c>
      <c r="C28" s="40" t="s">
        <v>214</v>
      </c>
    </row>
    <row r="29" customFormat="false" ht="31.5" hidden="false" customHeight="true" outlineLevel="0" collapsed="false">
      <c r="A29" s="39" t="s">
        <v>163</v>
      </c>
      <c r="B29" s="11" t="n">
        <v>435</v>
      </c>
      <c r="C29" s="40" t="s">
        <v>215</v>
      </c>
    </row>
    <row r="30" customFormat="false" ht="31.5" hidden="false" customHeight="true" outlineLevel="0" collapsed="false">
      <c r="A30" s="39" t="s">
        <v>160</v>
      </c>
      <c r="B30" s="11" t="n">
        <v>435</v>
      </c>
      <c r="C30" s="40" t="s">
        <v>216</v>
      </c>
    </row>
    <row r="31" customFormat="false" ht="31.5" hidden="false" customHeight="true" outlineLevel="0" collapsed="false">
      <c r="A31" s="39" t="s">
        <v>169</v>
      </c>
      <c r="B31" s="11" t="n">
        <v>440</v>
      </c>
      <c r="C31" s="40" t="s">
        <v>217</v>
      </c>
    </row>
    <row r="32" customFormat="false" ht="31.5" hidden="false" customHeight="true" outlineLevel="0" collapsed="false">
      <c r="A32" s="39" t="s">
        <v>183</v>
      </c>
      <c r="B32" s="11" t="n">
        <v>430</v>
      </c>
      <c r="C32" s="40" t="s">
        <v>218</v>
      </c>
    </row>
    <row r="33" customFormat="false" ht="31.5" hidden="false" customHeight="true" outlineLevel="0" collapsed="false">
      <c r="A33" s="39" t="s">
        <v>115</v>
      </c>
      <c r="B33" s="11" t="n">
        <v>435</v>
      </c>
      <c r="C33" s="40" t="s">
        <v>219</v>
      </c>
    </row>
    <row r="34" customFormat="false" ht="31.5" hidden="false" customHeight="true" outlineLevel="0" collapsed="false">
      <c r="A34" s="39" t="s">
        <v>135</v>
      </c>
      <c r="B34" s="11" t="n">
        <v>400</v>
      </c>
      <c r="C34" s="40" t="s">
        <v>220</v>
      </c>
    </row>
    <row r="35" customFormat="false" ht="31.5" hidden="false" customHeight="true" outlineLevel="0" collapsed="false">
      <c r="A35" s="39" t="s">
        <v>149</v>
      </c>
      <c r="B35" s="11" t="n">
        <v>440</v>
      </c>
      <c r="C35" s="40" t="s">
        <v>221</v>
      </c>
    </row>
    <row r="36" customFormat="false" ht="31.5" hidden="false" customHeight="true" outlineLevel="0" collapsed="false">
      <c r="A36" s="39" t="s">
        <v>170</v>
      </c>
      <c r="B36" s="11" t="n">
        <v>425</v>
      </c>
      <c r="C36" s="40" t="s">
        <v>222</v>
      </c>
    </row>
    <row r="37" customFormat="false" ht="31.5" hidden="false" customHeight="true" outlineLevel="0" collapsed="false">
      <c r="A37" s="39" t="s">
        <v>181</v>
      </c>
      <c r="B37" s="11" t="n">
        <v>410</v>
      </c>
      <c r="C37" s="40" t="s">
        <v>223</v>
      </c>
    </row>
    <row r="38" customFormat="false" ht="31.5" hidden="false" customHeight="true" outlineLevel="0" collapsed="false">
      <c r="A38" s="39" t="s">
        <v>153</v>
      </c>
      <c r="B38" s="11" t="n">
        <v>435</v>
      </c>
      <c r="C38" s="40" t="s">
        <v>224</v>
      </c>
    </row>
    <row r="39" customFormat="false" ht="31.5" hidden="false" customHeight="true" outlineLevel="0" collapsed="false">
      <c r="A39" s="39" t="s">
        <v>162</v>
      </c>
      <c r="B39" s="11" t="n">
        <v>430</v>
      </c>
      <c r="C39" s="40" t="s">
        <v>225</v>
      </c>
    </row>
    <row r="40" customFormat="false" ht="31.5" hidden="false" customHeight="true" outlineLevel="0" collapsed="false">
      <c r="A40" s="39" t="s">
        <v>173</v>
      </c>
      <c r="B40" s="11" t="n">
        <v>435</v>
      </c>
      <c r="C40" s="40" t="s">
        <v>226</v>
      </c>
    </row>
    <row r="41" customFormat="false" ht="31.5" hidden="false" customHeight="true" outlineLevel="0" collapsed="false">
      <c r="A41" s="39" t="s">
        <v>165</v>
      </c>
      <c r="B41" s="11" t="n">
        <v>440</v>
      </c>
      <c r="C41" s="40" t="s">
        <v>227</v>
      </c>
    </row>
    <row r="42" customFormat="false" ht="31.5" hidden="false" customHeight="true" outlineLevel="0" collapsed="false">
      <c r="A42" s="39" t="s">
        <v>184</v>
      </c>
      <c r="B42" s="11" t="n">
        <v>435</v>
      </c>
      <c r="C42" s="40" t="s">
        <v>228</v>
      </c>
    </row>
    <row r="43" customFormat="false" ht="31.5" hidden="false" customHeight="true" outlineLevel="0" collapsed="false">
      <c r="A43" s="39" t="s">
        <v>182</v>
      </c>
      <c r="B43" s="11" t="n">
        <v>430</v>
      </c>
      <c r="C43" s="40" t="s">
        <v>229</v>
      </c>
    </row>
    <row r="44" customFormat="false" ht="31.5" hidden="false" customHeight="true" outlineLevel="0" collapsed="false">
      <c r="A44" s="39" t="s">
        <v>185</v>
      </c>
      <c r="B44" s="11" t="n">
        <v>435</v>
      </c>
      <c r="C44" s="40" t="s">
        <v>230</v>
      </c>
    </row>
    <row r="46" customFormat="false" ht="18" hidden="false" customHeight="true" outlineLevel="0" collapsed="false">
      <c r="A46" s="38" t="s">
        <v>231</v>
      </c>
      <c r="B46" s="38"/>
      <c r="C46" s="38"/>
    </row>
    <row r="47" customFormat="false" ht="15" hidden="false" customHeight="false" outlineLevel="0" collapsed="false">
      <c r="A47" s="7" t="s">
        <v>76</v>
      </c>
      <c r="B47" s="6" t="s">
        <v>7</v>
      </c>
      <c r="C47" s="7" t="s">
        <v>190</v>
      </c>
    </row>
    <row r="48" customFormat="false" ht="31.5" hidden="false" customHeight="true" outlineLevel="0" collapsed="false">
      <c r="A48" s="39" t="s">
        <v>127</v>
      </c>
      <c r="B48" s="11" t="n">
        <v>330</v>
      </c>
      <c r="C48" s="40" t="s">
        <v>232</v>
      </c>
    </row>
    <row r="49" customFormat="false" ht="31.5" hidden="false" customHeight="true" outlineLevel="0" collapsed="false">
      <c r="A49" s="39" t="s">
        <v>134</v>
      </c>
      <c r="B49" s="11" t="n">
        <v>335</v>
      </c>
      <c r="C49" s="40" t="s">
        <v>233</v>
      </c>
    </row>
    <row r="50" customFormat="false" ht="31.5" hidden="false" customHeight="true" outlineLevel="0" collapsed="false">
      <c r="A50" s="39" t="s">
        <v>140</v>
      </c>
      <c r="B50" s="11" t="n">
        <v>330</v>
      </c>
      <c r="C50" s="40" t="s">
        <v>234</v>
      </c>
    </row>
    <row r="51" customFormat="false" ht="31.5" hidden="false" customHeight="true" outlineLevel="0" collapsed="false">
      <c r="A51" s="39" t="s">
        <v>144</v>
      </c>
      <c r="B51" s="11" t="n">
        <v>330</v>
      </c>
      <c r="C51" s="40" t="s">
        <v>235</v>
      </c>
    </row>
    <row r="52" customFormat="false" ht="31.5" hidden="false" customHeight="true" outlineLevel="0" collapsed="false">
      <c r="A52" s="39" t="s">
        <v>148</v>
      </c>
      <c r="B52" s="11" t="n">
        <v>330</v>
      </c>
      <c r="C52" s="40" t="s">
        <v>236</v>
      </c>
    </row>
    <row r="53" customFormat="false" ht="31.5" hidden="false" customHeight="true" outlineLevel="0" collapsed="false">
      <c r="A53" s="39" t="s">
        <v>152</v>
      </c>
      <c r="B53" s="11" t="n">
        <v>335</v>
      </c>
      <c r="C53" s="40" t="s">
        <v>237</v>
      </c>
    </row>
    <row r="54" customFormat="false" ht="31.5" hidden="false" customHeight="true" outlineLevel="0" collapsed="false">
      <c r="A54" s="39" t="s">
        <v>155</v>
      </c>
      <c r="B54" s="11" t="n">
        <v>330</v>
      </c>
      <c r="C54" s="40" t="s">
        <v>238</v>
      </c>
    </row>
    <row r="55" customFormat="false" ht="31.5" hidden="false" customHeight="true" outlineLevel="0" collapsed="false">
      <c r="A55" s="39" t="s">
        <v>159</v>
      </c>
      <c r="B55" s="11" t="n">
        <v>340</v>
      </c>
      <c r="C55" s="40" t="s">
        <v>239</v>
      </c>
    </row>
    <row r="57" customFormat="false" ht="18" hidden="false" customHeight="true" outlineLevel="0" collapsed="false">
      <c r="A57" s="38" t="s">
        <v>240</v>
      </c>
      <c r="B57" s="38"/>
      <c r="C57" s="38"/>
    </row>
    <row r="58" customFormat="false" ht="15" hidden="false" customHeight="false" outlineLevel="0" collapsed="false">
      <c r="A58" s="7" t="s">
        <v>76</v>
      </c>
      <c r="B58" s="6" t="s">
        <v>7</v>
      </c>
      <c r="C58" s="7" t="s">
        <v>190</v>
      </c>
    </row>
    <row r="59" customFormat="false" ht="31.5" hidden="false" customHeight="true" outlineLevel="0" collapsed="false">
      <c r="A59" s="39" t="s">
        <v>138</v>
      </c>
      <c r="B59" s="11" t="n">
        <v>180</v>
      </c>
      <c r="C59" s="40" t="s">
        <v>241</v>
      </c>
    </row>
    <row r="60" customFormat="false" ht="31.5" hidden="false" customHeight="true" outlineLevel="0" collapsed="false">
      <c r="A60" s="39" t="s">
        <v>129</v>
      </c>
      <c r="B60" s="11" t="n">
        <v>185</v>
      </c>
      <c r="C60" s="40" t="s">
        <v>242</v>
      </c>
    </row>
    <row r="61" customFormat="false" ht="31.5" hidden="false" customHeight="true" outlineLevel="0" collapsed="false">
      <c r="A61" s="39" t="s">
        <v>136</v>
      </c>
      <c r="B61" s="11" t="n">
        <v>135</v>
      </c>
      <c r="C61" s="40" t="s">
        <v>243</v>
      </c>
    </row>
    <row r="62" customFormat="false" ht="31.5" hidden="false" customHeight="true" outlineLevel="0" collapsed="false">
      <c r="A62" s="39" t="s">
        <v>132</v>
      </c>
      <c r="B62" s="11" t="n">
        <v>190</v>
      </c>
      <c r="C62" s="40" t="s">
        <v>244</v>
      </c>
    </row>
    <row r="64" customFormat="false" ht="39.75" hidden="false" customHeight="true" outlineLevel="0" collapsed="false">
      <c r="A64" s="41" t="s">
        <v>245</v>
      </c>
      <c r="B64" s="41"/>
      <c r="C64" s="41"/>
    </row>
  </sheetData>
  <mergeCells count="5">
    <mergeCell ref="A1:C1"/>
    <mergeCell ref="A3:C3"/>
    <mergeCell ref="A46:C46"/>
    <mergeCell ref="A57:C57"/>
    <mergeCell ref="A64:C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5" activeCellId="0" sqref="G15"/>
    </sheetView>
  </sheetViews>
  <sheetFormatPr defaultColWidth="8.6875" defaultRowHeight="15" zeroHeight="false" outlineLevelRow="0" outlineLevelCol="0"/>
  <cols>
    <col collapsed="false" customWidth="true" hidden="false" outlineLevel="0" max="1" min="1" style="0" width="37.99"/>
    <col collapsed="false" customWidth="true" hidden="false" outlineLevel="0" max="2" min="2" style="0" width="11.99"/>
    <col collapsed="false" customWidth="true" hidden="false" outlineLevel="0" max="3" min="3" style="0" width="126.85"/>
  </cols>
  <sheetData>
    <row r="1" customFormat="false" ht="24" hidden="false" customHeight="true" outlineLevel="0" collapsed="false">
      <c r="A1" s="42" t="s">
        <v>246</v>
      </c>
      <c r="B1" s="42"/>
      <c r="C1" s="42"/>
    </row>
    <row r="2" customFormat="false" ht="15" hidden="false" customHeight="false" outlineLevel="0" collapsed="false">
      <c r="A2" s="3" t="s">
        <v>247</v>
      </c>
      <c r="B2" s="3"/>
      <c r="C2" s="3"/>
    </row>
    <row r="4" customFormat="false" ht="15" hidden="false" customHeight="false" outlineLevel="0" collapsed="false">
      <c r="A4" s="7" t="s">
        <v>76</v>
      </c>
      <c r="B4" s="6" t="s">
        <v>248</v>
      </c>
      <c r="C4" s="7" t="s">
        <v>78</v>
      </c>
    </row>
    <row r="5" customFormat="false" ht="18" hidden="false" customHeight="true" outlineLevel="0" collapsed="false">
      <c r="A5" s="43" t="s">
        <v>189</v>
      </c>
      <c r="B5" s="43"/>
      <c r="C5" s="43"/>
    </row>
    <row r="6" customFormat="false" ht="63.75" hidden="false" customHeight="true" outlineLevel="0" collapsed="false">
      <c r="A6" s="39" t="s">
        <v>249</v>
      </c>
      <c r="B6" s="10" t="s">
        <v>250</v>
      </c>
      <c r="C6" s="40" t="s">
        <v>251</v>
      </c>
    </row>
    <row r="7" customFormat="false" ht="63.75" hidden="false" customHeight="true" outlineLevel="0" collapsed="false">
      <c r="A7" s="39" t="s">
        <v>252</v>
      </c>
      <c r="B7" s="10" t="s">
        <v>253</v>
      </c>
      <c r="C7" s="40" t="s">
        <v>254</v>
      </c>
    </row>
    <row r="8" customFormat="false" ht="99.95" hidden="false" customHeight="true" outlineLevel="0" collapsed="false">
      <c r="A8" s="39" t="s">
        <v>255</v>
      </c>
      <c r="B8" s="10" t="s">
        <v>256</v>
      </c>
      <c r="C8" s="40" t="s">
        <v>257</v>
      </c>
    </row>
    <row r="9" customFormat="false" ht="18" hidden="false" customHeight="true" outlineLevel="0" collapsed="false">
      <c r="A9" s="43" t="s">
        <v>231</v>
      </c>
      <c r="B9" s="43"/>
      <c r="C9" s="43"/>
    </row>
    <row r="10" customFormat="false" ht="63.75" hidden="false" customHeight="true" outlineLevel="0" collapsed="false">
      <c r="A10" s="39" t="s">
        <v>258</v>
      </c>
      <c r="B10" s="10" t="s">
        <v>259</v>
      </c>
      <c r="C10" s="40" t="s">
        <v>260</v>
      </c>
    </row>
    <row r="11" customFormat="false" ht="63.75" hidden="false" customHeight="true" outlineLevel="0" collapsed="false">
      <c r="A11" s="39" t="s">
        <v>261</v>
      </c>
      <c r="B11" s="10" t="s">
        <v>259</v>
      </c>
      <c r="C11" s="40" t="s">
        <v>262</v>
      </c>
    </row>
    <row r="12" customFormat="false" ht="63.75" hidden="false" customHeight="true" outlineLevel="0" collapsed="false">
      <c r="A12" s="39" t="s">
        <v>263</v>
      </c>
      <c r="B12" s="10" t="s">
        <v>264</v>
      </c>
      <c r="C12" s="40" t="s">
        <v>265</v>
      </c>
    </row>
    <row r="13" customFormat="false" ht="63.75" hidden="false" customHeight="true" outlineLevel="0" collapsed="false">
      <c r="A13" s="39" t="s">
        <v>266</v>
      </c>
      <c r="B13" s="10" t="s">
        <v>259</v>
      </c>
      <c r="C13" s="40" t="s">
        <v>267</v>
      </c>
    </row>
  </sheetData>
  <mergeCells count="4">
    <mergeCell ref="A1:C1"/>
    <mergeCell ref="A2:C2"/>
    <mergeCell ref="A5:C5"/>
    <mergeCell ref="A9:C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42"/>
    <col collapsed="false" customWidth="true" hidden="false" outlineLevel="0" max="2" min="2" style="0" width="16"/>
  </cols>
  <sheetData>
    <row r="1" customFormat="false" ht="25.5" hidden="false" customHeight="true" outlineLevel="0" collapsed="false">
      <c r="A1" s="44" t="s">
        <v>268</v>
      </c>
      <c r="B1" s="44"/>
    </row>
    <row r="2" customFormat="false" ht="15" hidden="false" customHeight="false" outlineLevel="0" collapsed="false">
      <c r="A2" s="3" t="s">
        <v>269</v>
      </c>
      <c r="B2" s="3"/>
    </row>
    <row r="4" customFormat="false" ht="21.75" hidden="false" customHeight="true" outlineLevel="0" collapsed="false">
      <c r="A4" s="45" t="s">
        <v>270</v>
      </c>
      <c r="B4" s="45"/>
    </row>
    <row r="5" customFormat="false" ht="15" hidden="false" customHeight="false" outlineLevel="0" collapsed="false">
      <c r="A5" s="7" t="s">
        <v>271</v>
      </c>
      <c r="B5" s="7"/>
    </row>
    <row r="6" customFormat="false" ht="15" hidden="false" customHeight="false" outlineLevel="0" collapsed="false">
      <c r="A6" s="9" t="s">
        <v>51</v>
      </c>
      <c r="B6" s="10" t="s">
        <v>272</v>
      </c>
    </row>
    <row r="7" customFormat="false" ht="15" hidden="false" customHeight="false" outlineLevel="0" collapsed="false">
      <c r="A7" s="46" t="s">
        <v>33</v>
      </c>
      <c r="B7" s="47" t="s">
        <v>273</v>
      </c>
    </row>
    <row r="8" customFormat="false" ht="15" hidden="false" customHeight="false" outlineLevel="0" collapsed="false">
      <c r="A8" s="9" t="s">
        <v>19</v>
      </c>
      <c r="B8" s="10" t="s">
        <v>274</v>
      </c>
    </row>
    <row r="9" customFormat="false" ht="15" hidden="false" customHeight="false" outlineLevel="0" collapsed="false">
      <c r="A9" s="46" t="s">
        <v>17</v>
      </c>
      <c r="B9" s="47" t="s">
        <v>275</v>
      </c>
    </row>
    <row r="10" customFormat="false" ht="15" hidden="false" customHeight="false" outlineLevel="0" collapsed="false">
      <c r="A10" s="9" t="s">
        <v>35</v>
      </c>
      <c r="B10" s="10" t="s">
        <v>276</v>
      </c>
    </row>
    <row r="11" customFormat="false" ht="15" hidden="false" customHeight="false" outlineLevel="0" collapsed="false">
      <c r="A11" s="46" t="s">
        <v>12</v>
      </c>
      <c r="B11" s="47" t="s">
        <v>277</v>
      </c>
    </row>
    <row r="12" customFormat="false" ht="15" hidden="false" customHeight="false" outlineLevel="0" collapsed="false">
      <c r="A12" s="9" t="s">
        <v>41</v>
      </c>
      <c r="B12" s="10" t="s">
        <v>278</v>
      </c>
    </row>
    <row r="13" customFormat="false" ht="15" hidden="false" customHeight="false" outlineLevel="0" collapsed="false">
      <c r="A13" s="46" t="s">
        <v>28</v>
      </c>
      <c r="B13" s="47" t="s">
        <v>279</v>
      </c>
    </row>
    <row r="14" customFormat="false" ht="15" hidden="false" customHeight="false" outlineLevel="0" collapsed="false">
      <c r="A14" s="7" t="s">
        <v>280</v>
      </c>
      <c r="B14" s="7"/>
    </row>
    <row r="15" customFormat="false" ht="15" hidden="false" customHeight="false" outlineLevel="0" collapsed="false">
      <c r="A15" s="9" t="s">
        <v>10</v>
      </c>
      <c r="B15" s="10" t="s">
        <v>281</v>
      </c>
    </row>
    <row r="16" customFormat="false" ht="15" hidden="false" customHeight="false" outlineLevel="0" collapsed="false">
      <c r="A16" s="46" t="s">
        <v>54</v>
      </c>
      <c r="B16" s="47" t="s">
        <v>282</v>
      </c>
    </row>
    <row r="17" customFormat="false" ht="15" hidden="false" customHeight="false" outlineLevel="0" collapsed="false">
      <c r="A17" s="9" t="s">
        <v>15</v>
      </c>
      <c r="B17" s="10" t="s">
        <v>283</v>
      </c>
    </row>
    <row r="18" customFormat="false" ht="15" hidden="false" customHeight="false" outlineLevel="0" collapsed="false">
      <c r="A18" s="46" t="s">
        <v>40</v>
      </c>
      <c r="B18" s="47" t="s">
        <v>284</v>
      </c>
    </row>
    <row r="19" customFormat="false" ht="15" hidden="false" customHeight="false" outlineLevel="0" collapsed="false">
      <c r="A19" s="9" t="s">
        <v>50</v>
      </c>
      <c r="B19" s="10" t="s">
        <v>285</v>
      </c>
    </row>
    <row r="20" customFormat="false" ht="15" hidden="false" customHeight="false" outlineLevel="0" collapsed="false">
      <c r="A20" s="7" t="s">
        <v>286</v>
      </c>
      <c r="B20" s="7"/>
    </row>
    <row r="21" customFormat="false" ht="15" hidden="false" customHeight="false" outlineLevel="0" collapsed="false">
      <c r="A21" s="9" t="s">
        <v>37</v>
      </c>
      <c r="B21" s="10" t="s">
        <v>287</v>
      </c>
    </row>
    <row r="22" customFormat="false" ht="15" hidden="false" customHeight="false" outlineLevel="0" collapsed="false">
      <c r="A22" s="46" t="s">
        <v>11</v>
      </c>
      <c r="B22" s="47" t="s">
        <v>288</v>
      </c>
    </row>
    <row r="23" customFormat="false" ht="15" hidden="false" customHeight="false" outlineLevel="0" collapsed="false">
      <c r="A23" s="9" t="s">
        <v>27</v>
      </c>
      <c r="B23" s="10" t="s">
        <v>289</v>
      </c>
    </row>
    <row r="24" customFormat="false" ht="15" hidden="false" customHeight="false" outlineLevel="0" collapsed="false">
      <c r="A24" s="46" t="s">
        <v>56</v>
      </c>
      <c r="B24" s="47" t="s">
        <v>288</v>
      </c>
    </row>
    <row r="25" customFormat="false" ht="15" hidden="false" customHeight="false" outlineLevel="0" collapsed="false">
      <c r="A25" s="9" t="s">
        <v>290</v>
      </c>
      <c r="B25" s="10" t="s">
        <v>291</v>
      </c>
    </row>
    <row r="26" customFormat="false" ht="15" hidden="false" customHeight="false" outlineLevel="0" collapsed="false">
      <c r="A26" s="46" t="s">
        <v>21</v>
      </c>
      <c r="B26" s="47" t="s">
        <v>292</v>
      </c>
    </row>
    <row r="27" customFormat="false" ht="15" hidden="false" customHeight="false" outlineLevel="0" collapsed="false">
      <c r="A27" s="7" t="s">
        <v>293</v>
      </c>
      <c r="B27" s="7"/>
    </row>
    <row r="28" customFormat="false" ht="15" hidden="false" customHeight="false" outlineLevel="0" collapsed="false">
      <c r="A28" s="9" t="s">
        <v>55</v>
      </c>
      <c r="B28" s="10" t="s">
        <v>294</v>
      </c>
    </row>
    <row r="29" customFormat="false" ht="15" hidden="false" customHeight="false" outlineLevel="0" collapsed="false">
      <c r="A29" s="46" t="s">
        <v>31</v>
      </c>
      <c r="B29" s="47" t="s">
        <v>275</v>
      </c>
    </row>
    <row r="30" customFormat="false" ht="15" hidden="false" customHeight="false" outlineLevel="0" collapsed="false">
      <c r="A30" s="9" t="s">
        <v>66</v>
      </c>
      <c r="B30" s="10" t="s">
        <v>295</v>
      </c>
    </row>
    <row r="31" customFormat="false" ht="15" hidden="false" customHeight="false" outlineLevel="0" collapsed="false">
      <c r="A31" s="46" t="s">
        <v>48</v>
      </c>
      <c r="B31" s="47" t="s">
        <v>276</v>
      </c>
    </row>
    <row r="32" customFormat="false" ht="15" hidden="false" customHeight="false" outlineLevel="0" collapsed="false">
      <c r="A32" s="9" t="s">
        <v>43</v>
      </c>
      <c r="B32" s="10" t="s">
        <v>296</v>
      </c>
    </row>
    <row r="33" customFormat="false" ht="15" hidden="false" customHeight="false" outlineLevel="0" collapsed="false">
      <c r="A33" s="46" t="s">
        <v>9</v>
      </c>
      <c r="B33" s="47" t="s">
        <v>297</v>
      </c>
    </row>
    <row r="34" customFormat="false" ht="15" hidden="false" customHeight="false" outlineLevel="0" collapsed="false">
      <c r="A34" s="9" t="s">
        <v>45</v>
      </c>
      <c r="B34" s="10" t="s">
        <v>298</v>
      </c>
    </row>
    <row r="35" customFormat="false" ht="15" hidden="false" customHeight="false" outlineLevel="0" collapsed="false">
      <c r="A35" s="46" t="s">
        <v>25</v>
      </c>
      <c r="B35" s="47" t="s">
        <v>299</v>
      </c>
    </row>
    <row r="36" customFormat="false" ht="15" hidden="false" customHeight="false" outlineLevel="0" collapsed="false">
      <c r="A36" s="9" t="s">
        <v>53</v>
      </c>
      <c r="B36" s="10" t="s">
        <v>275</v>
      </c>
    </row>
    <row r="37" customFormat="false" ht="15" hidden="false" customHeight="false" outlineLevel="0" collapsed="false">
      <c r="A37" s="46" t="s">
        <v>39</v>
      </c>
      <c r="B37" s="47" t="s">
        <v>300</v>
      </c>
    </row>
    <row r="38" customFormat="false" ht="15" hidden="false" customHeight="false" outlineLevel="0" collapsed="false">
      <c r="A38" s="7" t="s">
        <v>301</v>
      </c>
      <c r="B38" s="7"/>
    </row>
    <row r="39" customFormat="false" ht="15" hidden="false" customHeight="false" outlineLevel="0" collapsed="false">
      <c r="A39" s="9" t="s">
        <v>36</v>
      </c>
      <c r="B39" s="10" t="s">
        <v>302</v>
      </c>
    </row>
    <row r="40" customFormat="false" ht="15" hidden="false" customHeight="false" outlineLevel="0" collapsed="false">
      <c r="A40" s="46" t="s">
        <v>16</v>
      </c>
      <c r="B40" s="47" t="s">
        <v>303</v>
      </c>
    </row>
    <row r="41" customFormat="false" ht="15" hidden="false" customHeight="false" outlineLevel="0" collapsed="false">
      <c r="A41" s="9" t="s">
        <v>32</v>
      </c>
      <c r="B41" s="10" t="s">
        <v>275</v>
      </c>
    </row>
    <row r="42" customFormat="false" ht="15" hidden="false" customHeight="false" outlineLevel="0" collapsed="false">
      <c r="A42" s="46" t="s">
        <v>22</v>
      </c>
      <c r="B42" s="47" t="s">
        <v>304</v>
      </c>
    </row>
    <row r="43" customFormat="false" ht="15" hidden="false" customHeight="false" outlineLevel="0" collapsed="false">
      <c r="A43" s="9" t="s">
        <v>18</v>
      </c>
      <c r="B43" s="10" t="s">
        <v>305</v>
      </c>
    </row>
    <row r="44" customFormat="false" ht="15" hidden="false" customHeight="false" outlineLevel="0" collapsed="false">
      <c r="A44" s="46" t="s">
        <v>26</v>
      </c>
      <c r="B44" s="47" t="s">
        <v>306</v>
      </c>
    </row>
    <row r="46" customFormat="false" ht="21.75" hidden="false" customHeight="true" outlineLevel="0" collapsed="false">
      <c r="A46" s="48" t="s">
        <v>307</v>
      </c>
      <c r="B46" s="48"/>
    </row>
    <row r="47" customFormat="false" ht="15" hidden="false" customHeight="false" outlineLevel="0" collapsed="false">
      <c r="A47" s="7" t="s">
        <v>271</v>
      </c>
      <c r="B47" s="7"/>
    </row>
    <row r="48" customFormat="false" ht="15" hidden="false" customHeight="false" outlineLevel="0" collapsed="false">
      <c r="A48" s="9" t="s">
        <v>308</v>
      </c>
      <c r="B48" s="10" t="s">
        <v>276</v>
      </c>
    </row>
    <row r="49" customFormat="false" ht="15" hidden="false" customHeight="false" outlineLevel="0" collapsed="false">
      <c r="A49" s="46" t="s">
        <v>309</v>
      </c>
      <c r="B49" s="47" t="s">
        <v>310</v>
      </c>
    </row>
    <row r="50" customFormat="false" ht="15" hidden="false" customHeight="false" outlineLevel="0" collapsed="false">
      <c r="A50" s="9" t="s">
        <v>311</v>
      </c>
      <c r="B50" s="10" t="s">
        <v>312</v>
      </c>
    </row>
    <row r="51" customFormat="false" ht="15" hidden="false" customHeight="false" outlineLevel="0" collapsed="false">
      <c r="A51" s="46" t="s">
        <v>19</v>
      </c>
      <c r="B51" s="47" t="s">
        <v>313</v>
      </c>
    </row>
    <row r="52" customFormat="false" ht="15" hidden="false" customHeight="false" outlineLevel="0" collapsed="false">
      <c r="A52" s="9" t="s">
        <v>17</v>
      </c>
      <c r="B52" s="10" t="s">
        <v>314</v>
      </c>
    </row>
    <row r="53" customFormat="false" ht="15" hidden="false" customHeight="false" outlineLevel="0" collapsed="false">
      <c r="A53" s="46" t="s">
        <v>315</v>
      </c>
      <c r="B53" s="47" t="s">
        <v>316</v>
      </c>
    </row>
    <row r="54" customFormat="false" ht="15" hidden="false" customHeight="false" outlineLevel="0" collapsed="false">
      <c r="A54" s="9" t="s">
        <v>317</v>
      </c>
      <c r="B54" s="10" t="s">
        <v>276</v>
      </c>
    </row>
    <row r="55" customFormat="false" ht="15" hidden="false" customHeight="false" outlineLevel="0" collapsed="false">
      <c r="A55" s="46" t="s">
        <v>318</v>
      </c>
      <c r="B55" s="47" t="s">
        <v>319</v>
      </c>
    </row>
    <row r="56" customFormat="false" ht="15" hidden="false" customHeight="false" outlineLevel="0" collapsed="false">
      <c r="A56" s="9" t="s">
        <v>35</v>
      </c>
      <c r="B56" s="10" t="s">
        <v>320</v>
      </c>
    </row>
    <row r="57" customFormat="false" ht="15" hidden="false" customHeight="false" outlineLevel="0" collapsed="false">
      <c r="A57" s="46" t="s">
        <v>321</v>
      </c>
      <c r="B57" s="47" t="s">
        <v>322</v>
      </c>
    </row>
    <row r="58" customFormat="false" ht="15" hidden="false" customHeight="false" outlineLevel="0" collapsed="false">
      <c r="A58" s="9" t="s">
        <v>323</v>
      </c>
      <c r="B58" s="10" t="s">
        <v>324</v>
      </c>
    </row>
    <row r="59" customFormat="false" ht="15" hidden="false" customHeight="false" outlineLevel="0" collapsed="false">
      <c r="A59" s="46" t="s">
        <v>325</v>
      </c>
      <c r="B59" s="47" t="s">
        <v>326</v>
      </c>
    </row>
    <row r="60" customFormat="false" ht="15" hidden="false" customHeight="false" outlineLevel="0" collapsed="false">
      <c r="A60" s="9" t="s">
        <v>327</v>
      </c>
      <c r="B60" s="10" t="s">
        <v>328</v>
      </c>
    </row>
    <row r="61" customFormat="false" ht="15" hidden="false" customHeight="false" outlineLevel="0" collapsed="false">
      <c r="A61" s="46" t="s">
        <v>41</v>
      </c>
      <c r="B61" s="47" t="s">
        <v>329</v>
      </c>
    </row>
    <row r="62" customFormat="false" ht="15" hidden="false" customHeight="false" outlineLevel="0" collapsed="false">
      <c r="A62" s="9" t="s">
        <v>330</v>
      </c>
      <c r="B62" s="10" t="s">
        <v>331</v>
      </c>
    </row>
    <row r="63" customFormat="false" ht="15" hidden="false" customHeight="false" outlineLevel="0" collapsed="false">
      <c r="A63" s="46" t="s">
        <v>332</v>
      </c>
      <c r="B63" s="47" t="s">
        <v>303</v>
      </c>
    </row>
    <row r="64" customFormat="false" ht="15" hidden="false" customHeight="false" outlineLevel="0" collapsed="false">
      <c r="A64" s="9" t="s">
        <v>333</v>
      </c>
      <c r="B64" s="10" t="s">
        <v>276</v>
      </c>
    </row>
    <row r="65" customFormat="false" ht="15" hidden="false" customHeight="false" outlineLevel="0" collapsed="false">
      <c r="A65" s="46" t="s">
        <v>334</v>
      </c>
      <c r="B65" s="47" t="s">
        <v>335</v>
      </c>
    </row>
    <row r="66" customFormat="false" ht="15" hidden="false" customHeight="false" outlineLevel="0" collapsed="false">
      <c r="A66" s="7" t="s">
        <v>280</v>
      </c>
      <c r="B66" s="7"/>
    </row>
    <row r="67" customFormat="false" ht="15" hidden="false" customHeight="false" outlineLevel="0" collapsed="false">
      <c r="A67" s="9" t="s">
        <v>336</v>
      </c>
      <c r="B67" s="10" t="s">
        <v>337</v>
      </c>
    </row>
    <row r="68" customFormat="false" ht="15" hidden="false" customHeight="false" outlineLevel="0" collapsed="false">
      <c r="A68" s="46" t="s">
        <v>338</v>
      </c>
      <c r="B68" s="47" t="s">
        <v>339</v>
      </c>
    </row>
    <row r="69" customFormat="false" ht="15" hidden="false" customHeight="false" outlineLevel="0" collapsed="false">
      <c r="A69" s="9" t="s">
        <v>340</v>
      </c>
      <c r="B69" s="10" t="s">
        <v>341</v>
      </c>
    </row>
    <row r="70" customFormat="false" ht="15" hidden="false" customHeight="false" outlineLevel="0" collapsed="false">
      <c r="A70" s="46" t="s">
        <v>342</v>
      </c>
      <c r="B70" s="47" t="s">
        <v>343</v>
      </c>
    </row>
    <row r="71" customFormat="false" ht="15" hidden="false" customHeight="false" outlineLevel="0" collapsed="false">
      <c r="A71" s="7" t="s">
        <v>344</v>
      </c>
      <c r="B71" s="7"/>
    </row>
    <row r="72" customFormat="false" ht="15" hidden="false" customHeight="false" outlineLevel="0" collapsed="false">
      <c r="A72" s="9" t="s">
        <v>345</v>
      </c>
      <c r="B72" s="10" t="s">
        <v>294</v>
      </c>
    </row>
    <row r="73" customFormat="false" ht="15" hidden="false" customHeight="false" outlineLevel="0" collapsed="false">
      <c r="A73" s="46" t="s">
        <v>346</v>
      </c>
      <c r="B73" s="47" t="s">
        <v>303</v>
      </c>
    </row>
    <row r="74" customFormat="false" ht="15" hidden="false" customHeight="false" outlineLevel="0" collapsed="false">
      <c r="A74" s="7" t="s">
        <v>286</v>
      </c>
      <c r="B74" s="7"/>
    </row>
    <row r="75" customFormat="false" ht="15" hidden="false" customHeight="false" outlineLevel="0" collapsed="false">
      <c r="A75" s="9" t="s">
        <v>347</v>
      </c>
      <c r="B75" s="10" t="s">
        <v>320</v>
      </c>
    </row>
    <row r="76" customFormat="false" ht="15" hidden="false" customHeight="false" outlineLevel="0" collapsed="false">
      <c r="A76" s="46" t="s">
        <v>37</v>
      </c>
      <c r="B76" s="47" t="s">
        <v>348</v>
      </c>
    </row>
    <row r="77" customFormat="false" ht="15" hidden="false" customHeight="false" outlineLevel="0" collapsed="false">
      <c r="A77" s="9" t="s">
        <v>349</v>
      </c>
      <c r="B77" s="10" t="s">
        <v>350</v>
      </c>
    </row>
    <row r="78" customFormat="false" ht="15" hidden="false" customHeight="false" outlineLevel="0" collapsed="false">
      <c r="A78" s="46" t="s">
        <v>351</v>
      </c>
      <c r="B78" s="47" t="s">
        <v>352</v>
      </c>
    </row>
    <row r="79" customFormat="false" ht="15" hidden="false" customHeight="false" outlineLevel="0" collapsed="false">
      <c r="A79" s="9" t="s">
        <v>56</v>
      </c>
      <c r="B79" s="10" t="s">
        <v>353</v>
      </c>
    </row>
    <row r="80" customFormat="false" ht="15" hidden="false" customHeight="false" outlineLevel="0" collapsed="false">
      <c r="A80" s="46" t="s">
        <v>354</v>
      </c>
      <c r="B80" s="47" t="s">
        <v>355</v>
      </c>
    </row>
    <row r="81" customFormat="false" ht="15" hidden="false" customHeight="false" outlineLevel="0" collapsed="false">
      <c r="A81" s="9" t="s">
        <v>356</v>
      </c>
      <c r="B81" s="10" t="s">
        <v>303</v>
      </c>
    </row>
    <row r="82" customFormat="false" ht="15" hidden="false" customHeight="false" outlineLevel="0" collapsed="false">
      <c r="A82" s="46" t="s">
        <v>357</v>
      </c>
      <c r="B82" s="47" t="s">
        <v>294</v>
      </c>
    </row>
    <row r="83" customFormat="false" ht="15" hidden="false" customHeight="false" outlineLevel="0" collapsed="false">
      <c r="A83" s="9" t="s">
        <v>358</v>
      </c>
      <c r="B83" s="10" t="s">
        <v>326</v>
      </c>
    </row>
    <row r="84" customFormat="false" ht="15" hidden="false" customHeight="false" outlineLevel="0" collapsed="false">
      <c r="A84" s="46" t="s">
        <v>290</v>
      </c>
      <c r="B84" s="47" t="s">
        <v>359</v>
      </c>
    </row>
    <row r="85" customFormat="false" ht="15" hidden="false" customHeight="false" outlineLevel="0" collapsed="false">
      <c r="A85" s="9" t="s">
        <v>360</v>
      </c>
      <c r="B85" s="10" t="s">
        <v>361</v>
      </c>
    </row>
    <row r="86" customFormat="false" ht="15" hidden="false" customHeight="false" outlineLevel="0" collapsed="false">
      <c r="A86" s="7" t="s">
        <v>301</v>
      </c>
      <c r="B86" s="7"/>
    </row>
    <row r="87" customFormat="false" ht="15" hidden="false" customHeight="false" outlineLevel="0" collapsed="false">
      <c r="A87" s="9" t="s">
        <v>362</v>
      </c>
      <c r="B87" s="10" t="s">
        <v>363</v>
      </c>
    </row>
    <row r="88" customFormat="false" ht="15" hidden="false" customHeight="false" outlineLevel="0" collapsed="false">
      <c r="A88" s="46" t="s">
        <v>364</v>
      </c>
      <c r="B88" s="47" t="s">
        <v>365</v>
      </c>
    </row>
    <row r="89" customFormat="false" ht="15" hidden="false" customHeight="false" outlineLevel="0" collapsed="false">
      <c r="A89" s="9" t="s">
        <v>366</v>
      </c>
      <c r="B89" s="10" t="s">
        <v>367</v>
      </c>
    </row>
    <row r="90" customFormat="false" ht="15" hidden="false" customHeight="false" outlineLevel="0" collapsed="false">
      <c r="A90" s="46" t="s">
        <v>368</v>
      </c>
      <c r="B90" s="47" t="s">
        <v>275</v>
      </c>
    </row>
    <row r="91" customFormat="false" ht="15" hidden="false" customHeight="false" outlineLevel="0" collapsed="false">
      <c r="A91" s="9" t="s">
        <v>369</v>
      </c>
      <c r="B91" s="10" t="s">
        <v>370</v>
      </c>
    </row>
    <row r="92" customFormat="false" ht="15" hidden="false" customHeight="false" outlineLevel="0" collapsed="false">
      <c r="A92" s="46" t="s">
        <v>36</v>
      </c>
      <c r="B92" s="47" t="s">
        <v>371</v>
      </c>
    </row>
    <row r="93" customFormat="false" ht="15" hidden="false" customHeight="false" outlineLevel="0" collapsed="false">
      <c r="A93" s="9" t="s">
        <v>372</v>
      </c>
      <c r="B93" s="10" t="s">
        <v>373</v>
      </c>
    </row>
    <row r="94" customFormat="false" ht="15" hidden="false" customHeight="false" outlineLevel="0" collapsed="false">
      <c r="A94" s="46" t="s">
        <v>66</v>
      </c>
      <c r="B94" s="47" t="s">
        <v>276</v>
      </c>
    </row>
    <row r="95" customFormat="false" ht="15" hidden="false" customHeight="false" outlineLevel="0" collapsed="false">
      <c r="A95" s="9" t="s">
        <v>374</v>
      </c>
      <c r="B95" s="10" t="s">
        <v>375</v>
      </c>
    </row>
    <row r="96" customFormat="false" ht="15" hidden="false" customHeight="false" outlineLevel="0" collapsed="false">
      <c r="A96" s="46" t="s">
        <v>376</v>
      </c>
      <c r="B96" s="47" t="s">
        <v>276</v>
      </c>
    </row>
    <row r="97" customFormat="false" ht="15" hidden="false" customHeight="false" outlineLevel="0" collapsed="false">
      <c r="A97" s="9" t="s">
        <v>377</v>
      </c>
      <c r="B97" s="10" t="s">
        <v>275</v>
      </c>
    </row>
    <row r="98" customFormat="false" ht="15" hidden="false" customHeight="false" outlineLevel="0" collapsed="false">
      <c r="A98" s="46" t="s">
        <v>378</v>
      </c>
      <c r="B98" s="47" t="s">
        <v>379</v>
      </c>
    </row>
    <row r="99" customFormat="false" ht="15" hidden="false" customHeight="false" outlineLevel="0" collapsed="false">
      <c r="A99" s="9" t="s">
        <v>380</v>
      </c>
      <c r="B99" s="10" t="s">
        <v>381</v>
      </c>
    </row>
    <row r="100" customFormat="false" ht="15" hidden="false" customHeight="false" outlineLevel="0" collapsed="false">
      <c r="A100" s="46" t="s">
        <v>9</v>
      </c>
      <c r="B100" s="47" t="s">
        <v>295</v>
      </c>
    </row>
    <row r="101" customFormat="false" ht="15" hidden="false" customHeight="false" outlineLevel="0" collapsed="false">
      <c r="A101" s="9" t="s">
        <v>26</v>
      </c>
      <c r="B101" s="10" t="s">
        <v>382</v>
      </c>
    </row>
    <row r="102" customFormat="false" ht="15" hidden="false" customHeight="false" outlineLevel="0" collapsed="false">
      <c r="A102" s="46" t="s">
        <v>383</v>
      </c>
      <c r="B102" s="47" t="s">
        <v>384</v>
      </c>
    </row>
    <row r="103" customFormat="false" ht="15" hidden="false" customHeight="false" outlineLevel="0" collapsed="false">
      <c r="A103" s="9" t="s">
        <v>385</v>
      </c>
      <c r="B103" s="10" t="s">
        <v>370</v>
      </c>
    </row>
    <row r="104" customFormat="false" ht="15" hidden="false" customHeight="false" outlineLevel="0" collapsed="false">
      <c r="A104" s="46" t="s">
        <v>386</v>
      </c>
      <c r="B104" s="47" t="s">
        <v>302</v>
      </c>
    </row>
    <row r="106" customFormat="false" ht="21.75" hidden="false" customHeight="true" outlineLevel="0" collapsed="false">
      <c r="A106" s="48" t="s">
        <v>387</v>
      </c>
      <c r="B106" s="48"/>
    </row>
    <row r="107" customFormat="false" ht="15" hidden="false" customHeight="false" outlineLevel="0" collapsed="false">
      <c r="A107" s="7" t="s">
        <v>271</v>
      </c>
      <c r="B107" s="7"/>
    </row>
    <row r="108" customFormat="false" ht="15" hidden="false" customHeight="false" outlineLevel="0" collapsed="false">
      <c r="A108" s="9" t="s">
        <v>308</v>
      </c>
      <c r="B108" s="10" t="s">
        <v>367</v>
      </c>
    </row>
    <row r="109" customFormat="false" ht="15" hidden="false" customHeight="false" outlineLevel="0" collapsed="false">
      <c r="A109" s="46" t="s">
        <v>309</v>
      </c>
      <c r="B109" s="47" t="s">
        <v>302</v>
      </c>
    </row>
    <row r="110" customFormat="false" ht="15" hidden="false" customHeight="false" outlineLevel="0" collapsed="false">
      <c r="A110" s="9" t="s">
        <v>311</v>
      </c>
      <c r="B110" s="10" t="s">
        <v>388</v>
      </c>
    </row>
    <row r="111" customFormat="false" ht="15" hidden="false" customHeight="false" outlineLevel="0" collapsed="false">
      <c r="A111" s="46" t="s">
        <v>19</v>
      </c>
      <c r="B111" s="47" t="s">
        <v>389</v>
      </c>
    </row>
    <row r="112" customFormat="false" ht="15" hidden="false" customHeight="false" outlineLevel="0" collapsed="false">
      <c r="A112" s="9" t="s">
        <v>17</v>
      </c>
      <c r="B112" s="10" t="s">
        <v>275</v>
      </c>
    </row>
    <row r="113" customFormat="false" ht="15" hidden="false" customHeight="false" outlineLevel="0" collapsed="false">
      <c r="A113" s="46" t="s">
        <v>315</v>
      </c>
      <c r="B113" s="47" t="s">
        <v>390</v>
      </c>
    </row>
    <row r="114" customFormat="false" ht="15" hidden="false" customHeight="false" outlineLevel="0" collapsed="false">
      <c r="A114" s="9" t="s">
        <v>317</v>
      </c>
      <c r="B114" s="10" t="s">
        <v>276</v>
      </c>
    </row>
    <row r="115" customFormat="false" ht="15" hidden="false" customHeight="false" outlineLevel="0" collapsed="false">
      <c r="A115" s="46" t="s">
        <v>318</v>
      </c>
      <c r="B115" s="47" t="s">
        <v>281</v>
      </c>
    </row>
    <row r="116" customFormat="false" ht="15" hidden="false" customHeight="false" outlineLevel="0" collapsed="false">
      <c r="A116" s="9" t="s">
        <v>321</v>
      </c>
      <c r="B116" s="10" t="s">
        <v>391</v>
      </c>
    </row>
    <row r="117" customFormat="false" ht="15" hidden="false" customHeight="false" outlineLevel="0" collapsed="false">
      <c r="A117" s="46" t="s">
        <v>325</v>
      </c>
      <c r="B117" s="47" t="s">
        <v>392</v>
      </c>
    </row>
    <row r="118" customFormat="false" ht="15" hidden="false" customHeight="false" outlineLevel="0" collapsed="false">
      <c r="A118" s="9" t="s">
        <v>327</v>
      </c>
      <c r="B118" s="10" t="s">
        <v>335</v>
      </c>
    </row>
    <row r="119" customFormat="false" ht="15" hidden="false" customHeight="false" outlineLevel="0" collapsed="false">
      <c r="A119" s="46" t="s">
        <v>41</v>
      </c>
      <c r="B119" s="47" t="s">
        <v>393</v>
      </c>
    </row>
    <row r="120" customFormat="false" ht="15" hidden="false" customHeight="false" outlineLevel="0" collapsed="false">
      <c r="A120" s="9" t="s">
        <v>330</v>
      </c>
      <c r="B120" s="10" t="s">
        <v>394</v>
      </c>
    </row>
    <row r="121" customFormat="false" ht="15" hidden="false" customHeight="false" outlineLevel="0" collapsed="false">
      <c r="A121" s="46" t="s">
        <v>395</v>
      </c>
      <c r="B121" s="47" t="s">
        <v>303</v>
      </c>
    </row>
    <row r="122" customFormat="false" ht="15" hidden="false" customHeight="false" outlineLevel="0" collapsed="false">
      <c r="A122" s="9" t="s">
        <v>332</v>
      </c>
      <c r="B122" s="10" t="s">
        <v>303</v>
      </c>
    </row>
    <row r="123" customFormat="false" ht="15" hidden="false" customHeight="false" outlineLevel="0" collapsed="false">
      <c r="A123" s="46" t="s">
        <v>334</v>
      </c>
      <c r="B123" s="47" t="s">
        <v>396</v>
      </c>
    </row>
    <row r="124" customFormat="false" ht="15" hidden="false" customHeight="false" outlineLevel="0" collapsed="false">
      <c r="A124" s="7" t="s">
        <v>280</v>
      </c>
      <c r="B124" s="7"/>
    </row>
    <row r="125" customFormat="false" ht="15" hidden="false" customHeight="false" outlineLevel="0" collapsed="false">
      <c r="A125" s="9" t="s">
        <v>336</v>
      </c>
      <c r="B125" s="10" t="s">
        <v>397</v>
      </c>
    </row>
    <row r="126" customFormat="false" ht="15" hidden="false" customHeight="false" outlineLevel="0" collapsed="false">
      <c r="A126" s="46" t="s">
        <v>398</v>
      </c>
      <c r="B126" s="47" t="s">
        <v>399</v>
      </c>
    </row>
    <row r="127" customFormat="false" ht="15" hidden="false" customHeight="false" outlineLevel="0" collapsed="false">
      <c r="A127" s="9" t="s">
        <v>342</v>
      </c>
      <c r="B127" s="10" t="s">
        <v>400</v>
      </c>
    </row>
    <row r="128" customFormat="false" ht="15" hidden="false" customHeight="false" outlineLevel="0" collapsed="false">
      <c r="A128" s="7" t="s">
        <v>344</v>
      </c>
      <c r="B128" s="7"/>
    </row>
    <row r="129" customFormat="false" ht="15" hidden="false" customHeight="false" outlineLevel="0" collapsed="false">
      <c r="A129" s="9" t="s">
        <v>345</v>
      </c>
      <c r="B129" s="10" t="s">
        <v>401</v>
      </c>
    </row>
    <row r="130" customFormat="false" ht="15" hidden="false" customHeight="false" outlineLevel="0" collapsed="false">
      <c r="A130" s="46" t="s">
        <v>402</v>
      </c>
      <c r="B130" s="47" t="s">
        <v>403</v>
      </c>
    </row>
    <row r="131" customFormat="false" ht="15" hidden="false" customHeight="false" outlineLevel="0" collapsed="false">
      <c r="A131" s="9" t="s">
        <v>346</v>
      </c>
      <c r="B131" s="10" t="s">
        <v>314</v>
      </c>
    </row>
    <row r="132" customFormat="false" ht="15" hidden="false" customHeight="false" outlineLevel="0" collapsed="false">
      <c r="A132" s="7" t="s">
        <v>286</v>
      </c>
      <c r="B132" s="7"/>
    </row>
    <row r="133" customFormat="false" ht="15" hidden="false" customHeight="false" outlineLevel="0" collapsed="false">
      <c r="A133" s="9" t="s">
        <v>347</v>
      </c>
      <c r="B133" s="10" t="s">
        <v>320</v>
      </c>
    </row>
    <row r="134" customFormat="false" ht="15" hidden="false" customHeight="false" outlineLevel="0" collapsed="false">
      <c r="A134" s="46" t="s">
        <v>37</v>
      </c>
      <c r="B134" s="47" t="s">
        <v>404</v>
      </c>
    </row>
    <row r="135" customFormat="false" ht="15" hidden="false" customHeight="false" outlineLevel="0" collapsed="false">
      <c r="A135" s="9" t="s">
        <v>349</v>
      </c>
      <c r="B135" s="10" t="s">
        <v>405</v>
      </c>
    </row>
    <row r="136" customFormat="false" ht="15" hidden="false" customHeight="false" outlineLevel="0" collapsed="false">
      <c r="A136" s="46" t="s">
        <v>56</v>
      </c>
      <c r="B136" s="47" t="s">
        <v>406</v>
      </c>
    </row>
    <row r="137" customFormat="false" ht="15" hidden="false" customHeight="false" outlineLevel="0" collapsed="false">
      <c r="A137" s="9" t="s">
        <v>356</v>
      </c>
      <c r="B137" s="10" t="s">
        <v>407</v>
      </c>
    </row>
    <row r="138" customFormat="false" ht="15" hidden="false" customHeight="false" outlineLevel="0" collapsed="false">
      <c r="A138" s="46" t="s">
        <v>357</v>
      </c>
      <c r="B138" s="47" t="s">
        <v>294</v>
      </c>
    </row>
    <row r="139" customFormat="false" ht="15" hidden="false" customHeight="false" outlineLevel="0" collapsed="false">
      <c r="A139" s="9" t="s">
        <v>358</v>
      </c>
      <c r="B139" s="10" t="s">
        <v>326</v>
      </c>
    </row>
    <row r="140" customFormat="false" ht="15" hidden="false" customHeight="false" outlineLevel="0" collapsed="false">
      <c r="A140" s="46" t="s">
        <v>290</v>
      </c>
      <c r="B140" s="47" t="s">
        <v>408</v>
      </c>
    </row>
    <row r="141" customFormat="false" ht="15" hidden="false" customHeight="false" outlineLevel="0" collapsed="false">
      <c r="A141" s="9" t="s">
        <v>360</v>
      </c>
      <c r="B141" s="10" t="s">
        <v>409</v>
      </c>
    </row>
    <row r="142" customFormat="false" ht="15" hidden="false" customHeight="false" outlineLevel="0" collapsed="false">
      <c r="A142" s="7" t="s">
        <v>301</v>
      </c>
      <c r="B142" s="7"/>
    </row>
    <row r="143" customFormat="false" ht="15" hidden="false" customHeight="false" outlineLevel="0" collapsed="false">
      <c r="A143" s="9" t="s">
        <v>362</v>
      </c>
      <c r="B143" s="10" t="s">
        <v>363</v>
      </c>
    </row>
    <row r="144" customFormat="false" ht="15" hidden="false" customHeight="false" outlineLevel="0" collapsed="false">
      <c r="A144" s="46" t="s">
        <v>410</v>
      </c>
      <c r="B144" s="47" t="s">
        <v>411</v>
      </c>
    </row>
    <row r="145" customFormat="false" ht="15" hidden="false" customHeight="false" outlineLevel="0" collapsed="false">
      <c r="A145" s="9" t="s">
        <v>364</v>
      </c>
      <c r="B145" s="10" t="s">
        <v>365</v>
      </c>
    </row>
    <row r="146" customFormat="false" ht="15" hidden="false" customHeight="false" outlineLevel="0" collapsed="false">
      <c r="A146" s="46" t="s">
        <v>366</v>
      </c>
      <c r="B146" s="47" t="s">
        <v>412</v>
      </c>
    </row>
    <row r="147" customFormat="false" ht="15" hidden="false" customHeight="false" outlineLevel="0" collapsed="false">
      <c r="A147" s="9" t="s">
        <v>368</v>
      </c>
      <c r="B147" s="10" t="s">
        <v>281</v>
      </c>
    </row>
    <row r="148" customFormat="false" ht="15" hidden="false" customHeight="false" outlineLevel="0" collapsed="false">
      <c r="A148" s="46" t="s">
        <v>369</v>
      </c>
      <c r="B148" s="47" t="s">
        <v>370</v>
      </c>
    </row>
    <row r="149" customFormat="false" ht="15" hidden="false" customHeight="false" outlineLevel="0" collapsed="false">
      <c r="A149" s="9" t="s">
        <v>36</v>
      </c>
      <c r="B149" s="10" t="s">
        <v>413</v>
      </c>
    </row>
    <row r="150" customFormat="false" ht="15" hidden="false" customHeight="false" outlineLevel="0" collapsed="false">
      <c r="A150" s="46" t="s">
        <v>372</v>
      </c>
      <c r="B150" s="47" t="s">
        <v>373</v>
      </c>
    </row>
    <row r="151" customFormat="false" ht="15" hidden="false" customHeight="false" outlineLevel="0" collapsed="false">
      <c r="A151" s="9" t="s">
        <v>374</v>
      </c>
      <c r="B151" s="10" t="s">
        <v>375</v>
      </c>
    </row>
    <row r="152" customFormat="false" ht="15" hidden="false" customHeight="false" outlineLevel="0" collapsed="false">
      <c r="A152" s="46" t="s">
        <v>377</v>
      </c>
      <c r="B152" s="47" t="s">
        <v>412</v>
      </c>
    </row>
    <row r="153" customFormat="false" ht="15" hidden="false" customHeight="false" outlineLevel="0" collapsed="false">
      <c r="A153" s="9" t="s">
        <v>378</v>
      </c>
      <c r="B153" s="10" t="s">
        <v>414</v>
      </c>
    </row>
    <row r="154" customFormat="false" ht="15" hidden="false" customHeight="false" outlineLevel="0" collapsed="false">
      <c r="A154" s="46" t="s">
        <v>380</v>
      </c>
      <c r="B154" s="47" t="s">
        <v>415</v>
      </c>
    </row>
    <row r="155" customFormat="false" ht="15" hidden="false" customHeight="false" outlineLevel="0" collapsed="false">
      <c r="A155" s="9" t="s">
        <v>9</v>
      </c>
      <c r="B155" s="10" t="s">
        <v>406</v>
      </c>
    </row>
    <row r="156" customFormat="false" ht="15" hidden="false" customHeight="false" outlineLevel="0" collapsed="false">
      <c r="A156" s="46" t="s">
        <v>45</v>
      </c>
      <c r="B156" s="47" t="s">
        <v>302</v>
      </c>
    </row>
    <row r="157" customFormat="false" ht="15" hidden="false" customHeight="false" outlineLevel="0" collapsed="false">
      <c r="A157" s="9" t="s">
        <v>26</v>
      </c>
      <c r="B157" s="10" t="s">
        <v>320</v>
      </c>
    </row>
    <row r="158" customFormat="false" ht="15" hidden="false" customHeight="false" outlineLevel="0" collapsed="false">
      <c r="A158" s="46" t="s">
        <v>416</v>
      </c>
      <c r="B158" s="47" t="s">
        <v>285</v>
      </c>
    </row>
    <row r="159" customFormat="false" ht="15" hidden="false" customHeight="false" outlineLevel="0" collapsed="false">
      <c r="A159" s="9" t="s">
        <v>53</v>
      </c>
      <c r="B159" s="10" t="s">
        <v>289</v>
      </c>
    </row>
    <row r="160" customFormat="false" ht="15" hidden="false" customHeight="false" outlineLevel="0" collapsed="false">
      <c r="A160" s="46" t="s">
        <v>417</v>
      </c>
      <c r="B160" s="47" t="s">
        <v>373</v>
      </c>
    </row>
    <row r="161" customFormat="false" ht="15" hidden="false" customHeight="false" outlineLevel="0" collapsed="false">
      <c r="A161" s="9" t="s">
        <v>418</v>
      </c>
      <c r="B161" s="10" t="s">
        <v>419</v>
      </c>
    </row>
    <row r="162" customFormat="false" ht="15" hidden="false" customHeight="false" outlineLevel="0" collapsed="false">
      <c r="A162" s="46" t="s">
        <v>420</v>
      </c>
      <c r="B162" s="47" t="s">
        <v>302</v>
      </c>
    </row>
    <row r="163" customFormat="false" ht="15" hidden="false" customHeight="false" outlineLevel="0" collapsed="false">
      <c r="A163" s="9" t="s">
        <v>383</v>
      </c>
      <c r="B163" s="10" t="s">
        <v>421</v>
      </c>
    </row>
    <row r="164" customFormat="false" ht="15" hidden="false" customHeight="false" outlineLevel="0" collapsed="false">
      <c r="A164" s="46" t="s">
        <v>385</v>
      </c>
      <c r="B164" s="47" t="s">
        <v>370</v>
      </c>
    </row>
    <row r="165" customFormat="false" ht="15" hidden="false" customHeight="false" outlineLevel="0" collapsed="false">
      <c r="A165" s="9" t="s">
        <v>386</v>
      </c>
      <c r="B165" s="10" t="s">
        <v>302</v>
      </c>
    </row>
    <row r="166" customFormat="false" ht="15" hidden="false" customHeight="false" outlineLevel="0" collapsed="false">
      <c r="A166" s="46" t="s">
        <v>422</v>
      </c>
      <c r="B166" s="47" t="s">
        <v>423</v>
      </c>
    </row>
    <row r="168" customFormat="false" ht="21.75" hidden="false" customHeight="true" outlineLevel="0" collapsed="false">
      <c r="A168" s="48" t="s">
        <v>424</v>
      </c>
      <c r="B168" s="48"/>
    </row>
    <row r="169" customFormat="false" ht="15" hidden="false" customHeight="false" outlineLevel="0" collapsed="false">
      <c r="A169" s="7" t="s">
        <v>271</v>
      </c>
      <c r="B169" s="7"/>
    </row>
    <row r="170" customFormat="false" ht="15" hidden="false" customHeight="false" outlineLevel="0" collapsed="false">
      <c r="A170" s="9" t="s">
        <v>308</v>
      </c>
      <c r="B170" s="10" t="s">
        <v>289</v>
      </c>
    </row>
    <row r="171" customFormat="false" ht="15" hidden="false" customHeight="false" outlineLevel="0" collapsed="false">
      <c r="A171" s="46" t="s">
        <v>309</v>
      </c>
      <c r="B171" s="47" t="s">
        <v>310</v>
      </c>
    </row>
    <row r="172" customFormat="false" ht="15" hidden="false" customHeight="false" outlineLevel="0" collapsed="false">
      <c r="A172" s="9" t="s">
        <v>311</v>
      </c>
      <c r="B172" s="10" t="s">
        <v>331</v>
      </c>
    </row>
    <row r="173" customFormat="false" ht="15" hidden="false" customHeight="false" outlineLevel="0" collapsed="false">
      <c r="A173" s="46" t="s">
        <v>425</v>
      </c>
      <c r="B173" s="47" t="s">
        <v>303</v>
      </c>
    </row>
    <row r="174" customFormat="false" ht="15" hidden="false" customHeight="false" outlineLevel="0" collapsed="false">
      <c r="A174" s="9" t="s">
        <v>19</v>
      </c>
      <c r="B174" s="10" t="s">
        <v>313</v>
      </c>
    </row>
    <row r="175" customFormat="false" ht="15" hidden="false" customHeight="false" outlineLevel="0" collapsed="false">
      <c r="A175" s="46" t="s">
        <v>17</v>
      </c>
      <c r="B175" s="47" t="s">
        <v>289</v>
      </c>
    </row>
    <row r="176" customFormat="false" ht="15" hidden="false" customHeight="false" outlineLevel="0" collapsed="false">
      <c r="A176" s="9" t="s">
        <v>315</v>
      </c>
      <c r="B176" s="10" t="s">
        <v>316</v>
      </c>
    </row>
    <row r="177" customFormat="false" ht="15" hidden="false" customHeight="false" outlineLevel="0" collapsed="false">
      <c r="A177" s="46" t="s">
        <v>317</v>
      </c>
      <c r="B177" s="47" t="s">
        <v>276</v>
      </c>
    </row>
    <row r="178" customFormat="false" ht="15" hidden="false" customHeight="false" outlineLevel="0" collapsed="false">
      <c r="A178" s="9" t="s">
        <v>318</v>
      </c>
      <c r="B178" s="10" t="s">
        <v>319</v>
      </c>
    </row>
    <row r="179" customFormat="false" ht="15" hidden="false" customHeight="false" outlineLevel="0" collapsed="false">
      <c r="A179" s="46" t="s">
        <v>35</v>
      </c>
      <c r="B179" s="47" t="s">
        <v>275</v>
      </c>
    </row>
    <row r="180" customFormat="false" ht="15" hidden="false" customHeight="false" outlineLevel="0" collapsed="false">
      <c r="A180" s="9" t="s">
        <v>321</v>
      </c>
      <c r="B180" s="10" t="s">
        <v>426</v>
      </c>
    </row>
    <row r="181" customFormat="false" ht="15" hidden="false" customHeight="false" outlineLevel="0" collapsed="false">
      <c r="A181" s="46" t="s">
        <v>323</v>
      </c>
      <c r="B181" s="47" t="s">
        <v>427</v>
      </c>
    </row>
    <row r="182" customFormat="false" ht="15" hidden="false" customHeight="false" outlineLevel="0" collapsed="false">
      <c r="A182" s="9" t="s">
        <v>325</v>
      </c>
      <c r="B182" s="10" t="s">
        <v>326</v>
      </c>
    </row>
    <row r="183" customFormat="false" ht="15" hidden="false" customHeight="false" outlineLevel="0" collapsed="false">
      <c r="A183" s="46" t="s">
        <v>327</v>
      </c>
      <c r="B183" s="47" t="s">
        <v>428</v>
      </c>
    </row>
    <row r="184" customFormat="false" ht="15" hidden="false" customHeight="false" outlineLevel="0" collapsed="false">
      <c r="A184" s="9" t="s">
        <v>41</v>
      </c>
      <c r="B184" s="10" t="s">
        <v>331</v>
      </c>
    </row>
    <row r="185" customFormat="false" ht="15" hidden="false" customHeight="false" outlineLevel="0" collapsed="false">
      <c r="A185" s="46" t="s">
        <v>330</v>
      </c>
      <c r="B185" s="47" t="s">
        <v>429</v>
      </c>
    </row>
    <row r="186" customFormat="false" ht="15" hidden="false" customHeight="false" outlineLevel="0" collapsed="false">
      <c r="A186" s="9" t="s">
        <v>332</v>
      </c>
      <c r="B186" s="10" t="s">
        <v>361</v>
      </c>
    </row>
    <row r="187" customFormat="false" ht="15" hidden="false" customHeight="false" outlineLevel="0" collapsed="false">
      <c r="A187" s="46" t="s">
        <v>333</v>
      </c>
      <c r="B187" s="47" t="s">
        <v>276</v>
      </c>
    </row>
    <row r="188" customFormat="false" ht="15" hidden="false" customHeight="false" outlineLevel="0" collapsed="false">
      <c r="A188" s="9" t="s">
        <v>334</v>
      </c>
      <c r="B188" s="10" t="s">
        <v>430</v>
      </c>
    </row>
    <row r="189" customFormat="false" ht="15" hidden="false" customHeight="false" outlineLevel="0" collapsed="false">
      <c r="A189" s="7" t="s">
        <v>280</v>
      </c>
      <c r="B189" s="7"/>
    </row>
    <row r="190" customFormat="false" ht="15" hidden="false" customHeight="false" outlineLevel="0" collapsed="false">
      <c r="A190" s="9" t="s">
        <v>336</v>
      </c>
      <c r="B190" s="10" t="s">
        <v>431</v>
      </c>
    </row>
    <row r="191" customFormat="false" ht="15" hidden="false" customHeight="false" outlineLevel="0" collapsed="false">
      <c r="A191" s="46" t="s">
        <v>340</v>
      </c>
      <c r="B191" s="47" t="s">
        <v>432</v>
      </c>
    </row>
    <row r="192" customFormat="false" ht="15" hidden="false" customHeight="false" outlineLevel="0" collapsed="false">
      <c r="A192" s="9" t="s">
        <v>342</v>
      </c>
      <c r="B192" s="10" t="s">
        <v>433</v>
      </c>
    </row>
    <row r="193" customFormat="false" ht="15" hidden="false" customHeight="false" outlineLevel="0" collapsed="false">
      <c r="A193" s="7" t="s">
        <v>344</v>
      </c>
      <c r="B193" s="7"/>
    </row>
    <row r="194" customFormat="false" ht="15" hidden="false" customHeight="false" outlineLevel="0" collapsed="false">
      <c r="A194" s="9" t="s">
        <v>345</v>
      </c>
      <c r="B194" s="10" t="s">
        <v>295</v>
      </c>
    </row>
    <row r="195" customFormat="false" ht="15" hidden="false" customHeight="false" outlineLevel="0" collapsed="false">
      <c r="A195" s="46" t="s">
        <v>402</v>
      </c>
      <c r="B195" s="47" t="s">
        <v>295</v>
      </c>
    </row>
    <row r="196" customFormat="false" ht="15" hidden="false" customHeight="false" outlineLevel="0" collapsed="false">
      <c r="A196" s="9" t="s">
        <v>434</v>
      </c>
      <c r="B196" s="10" t="s">
        <v>367</v>
      </c>
    </row>
    <row r="197" customFormat="false" ht="15" hidden="false" customHeight="false" outlineLevel="0" collapsed="false">
      <c r="A197" s="46" t="s">
        <v>346</v>
      </c>
      <c r="B197" s="47" t="s">
        <v>407</v>
      </c>
    </row>
    <row r="198" customFormat="false" ht="15" hidden="false" customHeight="false" outlineLevel="0" collapsed="false">
      <c r="A198" s="7" t="s">
        <v>286</v>
      </c>
      <c r="B198" s="7"/>
    </row>
    <row r="199" customFormat="false" ht="15" hidden="false" customHeight="false" outlineLevel="0" collapsed="false">
      <c r="A199" s="9" t="s">
        <v>347</v>
      </c>
      <c r="B199" s="10" t="s">
        <v>320</v>
      </c>
    </row>
    <row r="200" customFormat="false" ht="15" hidden="false" customHeight="false" outlineLevel="0" collapsed="false">
      <c r="A200" s="46" t="s">
        <v>37</v>
      </c>
      <c r="B200" s="47" t="s">
        <v>348</v>
      </c>
    </row>
    <row r="201" customFormat="false" ht="15" hidden="false" customHeight="false" outlineLevel="0" collapsed="false">
      <c r="A201" s="9" t="s">
        <v>349</v>
      </c>
      <c r="B201" s="10" t="s">
        <v>435</v>
      </c>
    </row>
    <row r="202" customFormat="false" ht="15" hidden="false" customHeight="false" outlineLevel="0" collapsed="false">
      <c r="A202" s="46" t="s">
        <v>351</v>
      </c>
      <c r="B202" s="47" t="s">
        <v>352</v>
      </c>
    </row>
    <row r="203" customFormat="false" ht="15" hidden="false" customHeight="false" outlineLevel="0" collapsed="false">
      <c r="A203" s="9" t="s">
        <v>56</v>
      </c>
      <c r="B203" s="10" t="s">
        <v>436</v>
      </c>
    </row>
    <row r="204" customFormat="false" ht="15" hidden="false" customHeight="false" outlineLevel="0" collapsed="false">
      <c r="A204" s="46" t="s">
        <v>354</v>
      </c>
      <c r="B204" s="47" t="s">
        <v>275</v>
      </c>
    </row>
    <row r="205" customFormat="false" ht="15" hidden="false" customHeight="false" outlineLevel="0" collapsed="false">
      <c r="A205" s="9" t="s">
        <v>356</v>
      </c>
      <c r="B205" s="10" t="s">
        <v>437</v>
      </c>
    </row>
    <row r="206" customFormat="false" ht="15" hidden="false" customHeight="false" outlineLevel="0" collapsed="false">
      <c r="A206" s="46" t="s">
        <v>357</v>
      </c>
      <c r="B206" s="47" t="s">
        <v>294</v>
      </c>
    </row>
    <row r="207" customFormat="false" ht="15" hidden="false" customHeight="false" outlineLevel="0" collapsed="false">
      <c r="A207" s="9" t="s">
        <v>358</v>
      </c>
      <c r="B207" s="10" t="s">
        <v>392</v>
      </c>
    </row>
    <row r="208" customFormat="false" ht="15" hidden="false" customHeight="false" outlineLevel="0" collapsed="false">
      <c r="A208" s="46" t="s">
        <v>290</v>
      </c>
      <c r="B208" s="47" t="s">
        <v>438</v>
      </c>
    </row>
    <row r="209" customFormat="false" ht="15" hidden="false" customHeight="false" outlineLevel="0" collapsed="false">
      <c r="A209" s="9" t="s">
        <v>439</v>
      </c>
      <c r="B209" s="10" t="s">
        <v>370</v>
      </c>
    </row>
    <row r="210" customFormat="false" ht="15" hidden="false" customHeight="false" outlineLevel="0" collapsed="false">
      <c r="A210" s="46" t="s">
        <v>360</v>
      </c>
      <c r="B210" s="47" t="s">
        <v>302</v>
      </c>
    </row>
    <row r="211" customFormat="false" ht="15" hidden="false" customHeight="false" outlineLevel="0" collapsed="false">
      <c r="A211" s="7" t="s">
        <v>301</v>
      </c>
      <c r="B211" s="7"/>
    </row>
    <row r="212" customFormat="false" ht="15" hidden="false" customHeight="false" outlineLevel="0" collapsed="false">
      <c r="A212" s="9" t="s">
        <v>440</v>
      </c>
      <c r="B212" s="10" t="s">
        <v>441</v>
      </c>
    </row>
    <row r="213" customFormat="false" ht="15" hidden="false" customHeight="false" outlineLevel="0" collapsed="false">
      <c r="A213" s="46" t="s">
        <v>362</v>
      </c>
      <c r="B213" s="47" t="s">
        <v>363</v>
      </c>
    </row>
    <row r="214" customFormat="false" ht="15" hidden="false" customHeight="false" outlineLevel="0" collapsed="false">
      <c r="A214" s="9" t="s">
        <v>410</v>
      </c>
      <c r="B214" s="10" t="s">
        <v>298</v>
      </c>
    </row>
    <row r="215" customFormat="false" ht="15" hidden="false" customHeight="false" outlineLevel="0" collapsed="false">
      <c r="A215" s="46" t="s">
        <v>364</v>
      </c>
      <c r="B215" s="47" t="s">
        <v>442</v>
      </c>
    </row>
    <row r="216" customFormat="false" ht="15" hidden="false" customHeight="false" outlineLevel="0" collapsed="false">
      <c r="A216" s="9" t="s">
        <v>443</v>
      </c>
      <c r="B216" s="10" t="s">
        <v>444</v>
      </c>
    </row>
    <row r="217" customFormat="false" ht="15" hidden="false" customHeight="false" outlineLevel="0" collapsed="false">
      <c r="A217" s="46" t="s">
        <v>368</v>
      </c>
      <c r="B217" s="47" t="s">
        <v>275</v>
      </c>
    </row>
    <row r="218" customFormat="false" ht="15" hidden="false" customHeight="false" outlineLevel="0" collapsed="false">
      <c r="A218" s="9" t="s">
        <v>445</v>
      </c>
      <c r="B218" s="10" t="s">
        <v>370</v>
      </c>
    </row>
    <row r="219" customFormat="false" ht="15" hidden="false" customHeight="false" outlineLevel="0" collapsed="false">
      <c r="A219" s="46" t="s">
        <v>36</v>
      </c>
      <c r="B219" s="47" t="s">
        <v>371</v>
      </c>
    </row>
    <row r="220" customFormat="false" ht="15" hidden="false" customHeight="false" outlineLevel="0" collapsed="false">
      <c r="A220" s="9" t="s">
        <v>372</v>
      </c>
      <c r="B220" s="10" t="s">
        <v>373</v>
      </c>
    </row>
    <row r="221" customFormat="false" ht="15" hidden="false" customHeight="false" outlineLevel="0" collapsed="false">
      <c r="A221" s="46" t="s">
        <v>374</v>
      </c>
      <c r="B221" s="47" t="s">
        <v>375</v>
      </c>
    </row>
    <row r="222" customFormat="false" ht="15" hidden="false" customHeight="false" outlineLevel="0" collapsed="false">
      <c r="A222" s="9" t="s">
        <v>446</v>
      </c>
      <c r="B222" s="10" t="s">
        <v>303</v>
      </c>
    </row>
    <row r="223" customFormat="false" ht="15" hidden="false" customHeight="false" outlineLevel="0" collapsed="false">
      <c r="A223" s="46" t="s">
        <v>378</v>
      </c>
      <c r="B223" s="47" t="s">
        <v>379</v>
      </c>
    </row>
    <row r="224" customFormat="false" ht="15" hidden="false" customHeight="false" outlineLevel="0" collapsed="false">
      <c r="A224" s="9" t="s">
        <v>447</v>
      </c>
      <c r="B224" s="10" t="s">
        <v>320</v>
      </c>
    </row>
    <row r="225" customFormat="false" ht="15" hidden="false" customHeight="false" outlineLevel="0" collapsed="false">
      <c r="A225" s="46" t="s">
        <v>380</v>
      </c>
      <c r="B225" s="47" t="s">
        <v>448</v>
      </c>
    </row>
    <row r="226" customFormat="false" ht="15" hidden="false" customHeight="false" outlineLevel="0" collapsed="false">
      <c r="A226" s="9" t="s">
        <v>9</v>
      </c>
      <c r="B226" s="10" t="s">
        <v>449</v>
      </c>
    </row>
    <row r="227" customFormat="false" ht="15" hidden="false" customHeight="false" outlineLevel="0" collapsed="false">
      <c r="A227" s="46" t="s">
        <v>45</v>
      </c>
      <c r="B227" s="47" t="s">
        <v>450</v>
      </c>
    </row>
    <row r="228" customFormat="false" ht="15" hidden="false" customHeight="false" outlineLevel="0" collapsed="false">
      <c r="A228" s="9" t="s">
        <v>416</v>
      </c>
      <c r="B228" s="10" t="s">
        <v>451</v>
      </c>
    </row>
    <row r="229" customFormat="false" ht="15" hidden="false" customHeight="false" outlineLevel="0" collapsed="false">
      <c r="A229" s="46" t="s">
        <v>53</v>
      </c>
      <c r="B229" s="47" t="s">
        <v>289</v>
      </c>
    </row>
    <row r="230" customFormat="false" ht="15" hidden="false" customHeight="false" outlineLevel="0" collapsed="false">
      <c r="A230" s="9" t="s">
        <v>452</v>
      </c>
      <c r="B230" s="10" t="s">
        <v>453</v>
      </c>
    </row>
    <row r="231" customFormat="false" ht="15" hidden="false" customHeight="false" outlineLevel="0" collapsed="false">
      <c r="A231" s="46" t="s">
        <v>454</v>
      </c>
      <c r="B231" s="47" t="s">
        <v>455</v>
      </c>
    </row>
    <row r="232" customFormat="false" ht="15" hidden="false" customHeight="false" outlineLevel="0" collapsed="false">
      <c r="A232" s="9" t="s">
        <v>418</v>
      </c>
      <c r="B232" s="10" t="s">
        <v>456</v>
      </c>
    </row>
    <row r="233" customFormat="false" ht="15" hidden="false" customHeight="false" outlineLevel="0" collapsed="false">
      <c r="A233" s="46" t="s">
        <v>383</v>
      </c>
      <c r="B233" s="47" t="s">
        <v>451</v>
      </c>
    </row>
    <row r="234" customFormat="false" ht="15" hidden="false" customHeight="false" outlineLevel="0" collapsed="false">
      <c r="A234" s="9" t="s">
        <v>385</v>
      </c>
      <c r="B234" s="10" t="s">
        <v>370</v>
      </c>
    </row>
    <row r="235" customFormat="false" ht="15" hidden="false" customHeight="false" outlineLevel="0" collapsed="false">
      <c r="A235" s="46" t="s">
        <v>386</v>
      </c>
      <c r="B235" s="47" t="s">
        <v>302</v>
      </c>
    </row>
  </sheetData>
  <mergeCells count="26">
    <mergeCell ref="A1:B1"/>
    <mergeCell ref="A2:B2"/>
    <mergeCell ref="A4:B4"/>
    <mergeCell ref="A5:B5"/>
    <mergeCell ref="A14:B14"/>
    <mergeCell ref="A20:B20"/>
    <mergeCell ref="A27:B27"/>
    <mergeCell ref="A38:B38"/>
    <mergeCell ref="A46:B46"/>
    <mergeCell ref="A47:B47"/>
    <mergeCell ref="A66:B66"/>
    <mergeCell ref="A71:B71"/>
    <mergeCell ref="A74:B74"/>
    <mergeCell ref="A86:B86"/>
    <mergeCell ref="A106:B106"/>
    <mergeCell ref="A107:B107"/>
    <mergeCell ref="A124:B124"/>
    <mergeCell ref="A128:B128"/>
    <mergeCell ref="A132:B132"/>
    <mergeCell ref="A142:B142"/>
    <mergeCell ref="A168:B168"/>
    <mergeCell ref="A169:B169"/>
    <mergeCell ref="A189:B189"/>
    <mergeCell ref="A193:B193"/>
    <mergeCell ref="A198:B198"/>
    <mergeCell ref="A211:B2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LibreOffice/7.3.0.3$Windows_X86_64 LibreOffice_project/0f246aa12d0eee4a0f7adcefbf7c878fc2238db3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2026-08-03T18:07:01Z</dcterms:created>
  <dc:creator>openpyxl</dc:creator>
  <dc:description/>
  <dc:language>en-US</dc:language>
  <cp:lastModifiedBy/>
  <dcterms:modified xsi:type="dcterms:W3CDTF">2026-08-04T00:15:27Z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